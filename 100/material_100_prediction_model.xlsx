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 + Predictions" sheetId="2" state="visible" r:id="rId4"/>
    <sheet name="2026 Forecast" sheetId="3" state="visible" r:id="rId5"/>
    <sheet name="Yearly Summary" sheetId="4" state="visible" r:id="rId6"/>
    <sheet name="Chart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<sst xmlns="http://schemas.openxmlformats.org/spreadsheetml/2006/main" count="284" uniqueCount="132">
  <si>
    <t xml:space="preserve">Material 100 — Monthly Consumption Prediction Model</t>
  </si>
  <si>
    <t xml:space="preserve">Regression Analysis | Data: Jan 2022 – Apr 2026 | Models: Random Forest + Linear Regression</t>
  </si>
  <si>
    <t xml:space="preserve">MODEL PERFORMANCE</t>
  </si>
  <si>
    <t xml:space="preserve">FEATURE IMPORTANCE (Random Forest)</t>
  </si>
  <si>
    <t xml:space="preserve">Feature</t>
  </si>
  <si>
    <t xml:space="preserve">Importance</t>
  </si>
  <si>
    <t xml:space="preserve">Rank</t>
  </si>
  <si>
    <t xml:space="preserve">RMSE (units)</t>
  </si>
  <si>
    <t xml:space="preserve">Random Forest</t>
  </si>
  <si>
    <t xml:space="preserve">Time Trend (Growth)</t>
  </si>
  <si>
    <t xml:space="preserve">Linear Regression</t>
  </si>
  <si>
    <t xml:space="preserve">Relative Humidity</t>
  </si>
  <si>
    <t xml:space="preserve">Temp Range (ΔT)</t>
  </si>
  <si>
    <t xml:space="preserve">★  Best Model: Random Forest  |  R² = 0.97  |  MAE = 17 units</t>
  </si>
  <si>
    <t xml:space="preserve">Month Number</t>
  </si>
  <si>
    <t xml:space="preserve">Season</t>
  </si>
  <si>
    <t xml:space="preserve">LINEAR REGRESSION EQUATION</t>
  </si>
  <si>
    <t xml:space="preserve">Consumption = 346.69 + 4.76×(Time) − 2.52×(RH) + 5.87×(ΔT) − 8.87×(Month#) + 13.49×(Season)</t>
  </si>
  <si>
    <t xml:space="preserve">KEY INSIGHTS</t>
  </si>
  <si>
    <t xml:space="preserve">Time Trend (43%)</t>
  </si>
  <si>
    <t xml:space="preserve">Consumption growing ~5 units/month — strong upward trend across all years</t>
  </si>
  <si>
    <t xml:space="preserve">Humidity Impact (29%)</t>
  </si>
  <si>
    <t xml:space="preserve">Monsoon season has lower consumption as RH rises (inverse relationship)</t>
  </si>
  <si>
    <t xml:space="preserve">Temperature Range (21%)</t>
  </si>
  <si>
    <t xml:space="preserve">Larger daily ΔT = more service calls; drives ~21% of model variance</t>
  </si>
  <si>
    <t xml:space="preserve">Seasonality (6%)</t>
  </si>
  <si>
    <t xml:space="preserve">Summer (Mar–Jun) peaks; Monsoon (Jul–Sep) troughs. ~6% of variance</t>
  </si>
  <si>
    <t xml:space="preserve">Material 100 — Historical Monthly Consumption with Model Predictions</t>
  </si>
  <si>
    <t xml:space="preserve">Month</t>
  </si>
  <si>
    <t xml:space="preserve">Year</t>
  </si>
  <si>
    <t xml:space="preserve">Tavg (°C)</t>
  </si>
  <si>
    <t xml:space="preserve">RH (%)</t>
  </si>
  <si>
    <t xml:space="preserve">ΔT (°C)</t>
  </si>
  <si>
    <t xml:space="preserve">Actual Consumption</t>
  </si>
  <si>
    <t xml:space="preserve">RF Predicted</t>
  </si>
  <si>
    <t xml:space="preserve">LR Predicted</t>
  </si>
  <si>
    <t xml:space="preserve">RF Error</t>
  </si>
  <si>
    <t xml:space="preserve">RF Error %</t>
  </si>
  <si>
    <t xml:space="preserve">2022-01</t>
  </si>
  <si>
    <t xml:space="preserve">Winter</t>
  </si>
  <si>
    <t xml:space="preserve">2022-02</t>
  </si>
  <si>
    <t xml:space="preserve">2022-03</t>
  </si>
  <si>
    <t xml:space="preserve">Summer</t>
  </si>
  <si>
    <t xml:space="preserve">2022-04</t>
  </si>
  <si>
    <t xml:space="preserve">2022-05</t>
  </si>
  <si>
    <t xml:space="preserve">2022-06</t>
  </si>
  <si>
    <t xml:space="preserve">2022-07</t>
  </si>
  <si>
    <t xml:space="preserve">Monsoon</t>
  </si>
  <si>
    <t xml:space="preserve">2022-08</t>
  </si>
  <si>
    <t xml:space="preserve">2022-09</t>
  </si>
  <si>
    <t xml:space="preserve">2022-10</t>
  </si>
  <si>
    <t xml:space="preserve">Post-Monsoon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</si>
  <si>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</si>
  <si>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</si>
  <si>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</si>
  <si>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</si>
  <si>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</si>
  <si>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</si>
  <si>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</si>
  <si>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</si>
  <si>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</si>
  <si>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</si>
  <si>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</si>
  <si>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</si>
  <si>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</si>
  <si>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</si>
  <si>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</si>
  <si>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</si>
  <si>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</si>
  <si>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</si>
  <si>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</si>
  <si>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</si>
  <si>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</si>
  <si>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</si>
  <si>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</si>
  <si>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</si>
  <si>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</si>
  <si>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</si>
  <si>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</si>
  <si>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</si>
  <si>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</si>
  <si>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</si>
  <si>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</si>
  <si>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</si>
  <si>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</si>
  <si>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</si>
  <si>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</si>
  <si>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</si>
  <si>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</si>
  <si>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</si>
  <si>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</si>
  <si>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</si>
  <si>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</si>
  <si>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</si>
  <si>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TOTAL</t>
  </si>
  <si>
    <t xml:space="preserve">Material 100 — 2026 Full Year Forecast</t>
  </si>
  <si>
    <t xml:space="preserve">Jan–Apr 2026: Actual | May–Dec 2026: Random Forest Forecast (based on historical weather patterns)</t>
  </si>
  <si>
    <t xml:space="preserve">Est. RH (%)</t>
  </si>
  <si>
    <t xml:space="preserve">Est. ΔT (°C)</t>
  </si>
  <si>
    <t xml:space="preserve">RF Forecast</t>
  </si>
  <si>
    <t xml:space="preserve">LR Forecast</t>
  </si>
  <si>
    <t xml:space="preserve">Avg Forecast</t>
  </si>
  <si>
    <t xml:space="preserve">Status</t>
  </si>
  <si>
    <t xml:space="preserve">Actual</t>
  </si>
  <si>
    <t xml:space="preserve">2026-05</t>
  </si>
  <si>
    <t xml:space="preserve">Forecast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</si>
  <si>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</si>
  <si>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</si>
  <si>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</si>
  <si>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</si>
  <si>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</si>
  <si>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</si>
  <si>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</si>
  <si>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2026 TOTAL (RF)</t>
  </si>
  <si>
    <t xml:space="preserve">Year-on-Year Monthly Breakdown — Actual vs Forecast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</si>
  <si>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</si>
  <si>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</si>
  <si>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</si>
  <si>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</si>
  <si>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</si>
  <si>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</si>
  <si>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</si>
  <si>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</si>
  <si>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</si>
  <si>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</si>
  <si>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</si>
  <si>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</si>
  <si>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</si>
  <si>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—</t>
  </si>
  <si>
    <t xml:space="preserve">2026 (F)</t>
  </si>
  <si>
    <t xml:space="preserve">Green = Actual  |  Yellow = Forecast  |  Grey (—) = Not available in dataset</t>
  </si>
  <si>
    <t xml:space="preserve">Actual vs Predicted — Monthly Consumption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</si>
</sst>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#,##0.0"/>
    <numFmt numFmtId="167" formatCode="0.00%"/>
    <numFmt numFmtId="168" formatCode="0"/>
    <numFmt numFmtId="169" formatCode="0.00"/>
    <numFmt numFmtId="170" formatCode="#,##0"/>
    <numFmt numFmtId="171" formatCode="\+#,##0;\-#,##0;0"/>
    <numFmt numFmtId="172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1F3864"/>
      <name val="Courier New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D9E1F2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Consumption: Actual vs Predicted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f3864"/>
            </a:solidFill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Data'!$A$3:$A$62</c:f>
              <c:strCache>
                <c:ptCount val="6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  <c:pt idx="56">
                  <c:v>2026-09</c:v>
                </c:pt>
                <c:pt idx="57">
                  <c:v>2026-10</c:v>
                </c:pt>
                <c:pt idx="58">
                  <c:v>2026-11</c:v>
                </c:pt>
                <c:pt idx="59">
                  <c:v>2026-12</c:v>
                </c:pt>
              </c:strCache>
            </c:strRef>
          </c:cat>
          <c:val>
            <c:numRef>
              <c:f>'Chart Data'!$B$3:$B$54</c:f>
              <c:numCache>
                <c:formatCode>General</c:formatCode>
                <c:ptCount val="52"/>
                <c:pt idx="0">
                  <c:v>181</c:v>
                </c:pt>
                <c:pt idx="1">
                  <c:v>239</c:v>
                </c:pt>
                <c:pt idx="2">
                  <c:v>309</c:v>
                </c:pt>
                <c:pt idx="3">
                  <c:v>285</c:v>
                </c:pt>
                <c:pt idx="4">
                  <c:v>266</c:v>
                </c:pt>
                <c:pt idx="5">
                  <c:v>198</c:v>
                </c:pt>
                <c:pt idx="6">
                  <c:v>91</c:v>
                </c:pt>
                <c:pt idx="7">
                  <c:v>141</c:v>
                </c:pt>
                <c:pt idx="8">
                  <c:v>276</c:v>
                </c:pt>
                <c:pt idx="9">
                  <c:v>214</c:v>
                </c:pt>
                <c:pt idx="10">
                  <c:v>282</c:v>
                </c:pt>
                <c:pt idx="11">
                  <c:v>278</c:v>
                </c:pt>
                <c:pt idx="12">
                  <c:v>311</c:v>
                </c:pt>
                <c:pt idx="13">
                  <c:v>384</c:v>
                </c:pt>
                <c:pt idx="14">
                  <c:v>472</c:v>
                </c:pt>
                <c:pt idx="15">
                  <c:v>402</c:v>
                </c:pt>
                <c:pt idx="16">
                  <c:v>379</c:v>
                </c:pt>
                <c:pt idx="17">
                  <c:v>354</c:v>
                </c:pt>
                <c:pt idx="18">
                  <c:v>216</c:v>
                </c:pt>
                <c:pt idx="19">
                  <c:v>273</c:v>
                </c:pt>
                <c:pt idx="20">
                  <c:v>126</c:v>
                </c:pt>
                <c:pt idx="21">
                  <c:v>267</c:v>
                </c:pt>
                <c:pt idx="22">
                  <c:v>283</c:v>
                </c:pt>
                <c:pt idx="23">
                  <c:v>360</c:v>
                </c:pt>
                <c:pt idx="24">
                  <c:v>439</c:v>
                </c:pt>
                <c:pt idx="25">
                  <c:v>534</c:v>
                </c:pt>
                <c:pt idx="26">
                  <c:v>535</c:v>
                </c:pt>
                <c:pt idx="27">
                  <c:v>553</c:v>
                </c:pt>
                <c:pt idx="28">
                  <c:v>447</c:v>
                </c:pt>
                <c:pt idx="29">
                  <c:v>421</c:v>
                </c:pt>
                <c:pt idx="30">
                  <c:v>403</c:v>
                </c:pt>
                <c:pt idx="31">
                  <c:v>357</c:v>
                </c:pt>
                <c:pt idx="32">
                  <c:v>297</c:v>
                </c:pt>
                <c:pt idx="33">
                  <c:v>322</c:v>
                </c:pt>
                <c:pt idx="34">
                  <c:v>455</c:v>
                </c:pt>
                <c:pt idx="35">
                  <c:v>340</c:v>
                </c:pt>
                <c:pt idx="36">
                  <c:v>476</c:v>
                </c:pt>
                <c:pt idx="37">
                  <c:v>546</c:v>
                </c:pt>
                <c:pt idx="38">
                  <c:v>598</c:v>
                </c:pt>
                <c:pt idx="39">
                  <c:v>589</c:v>
                </c:pt>
                <c:pt idx="40">
                  <c:v>496</c:v>
                </c:pt>
                <c:pt idx="41">
                  <c:v>350</c:v>
                </c:pt>
                <c:pt idx="42">
                  <c:v>390</c:v>
                </c:pt>
                <c:pt idx="43">
                  <c:v>359</c:v>
                </c:pt>
                <c:pt idx="44">
                  <c:v>377</c:v>
                </c:pt>
                <c:pt idx="45">
                  <c:v>322</c:v>
                </c:pt>
                <c:pt idx="46">
                  <c:v>345</c:v>
                </c:pt>
                <c:pt idx="47">
                  <c:v>310</c:v>
                </c:pt>
                <c:pt idx="48">
                  <c:v>399</c:v>
                </c:pt>
                <c:pt idx="49">
                  <c:v>499</c:v>
                </c:pt>
                <c:pt idx="50">
                  <c:v>601</c:v>
                </c:pt>
                <c:pt idx="51">
                  <c:v>457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Data'!C2</c:f>
              <c:strCache>
                <c:ptCount val="1"/>
                <c:pt idx="0">
                  <c:v>RF Predicted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Data'!$A$3:$A$62</c:f>
              <c:strCache>
                <c:ptCount val="6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  <c:pt idx="56">
                  <c:v>2026-09</c:v>
                </c:pt>
                <c:pt idx="57">
                  <c:v>2026-10</c:v>
                </c:pt>
                <c:pt idx="58">
                  <c:v>2026-11</c:v>
                </c:pt>
                <c:pt idx="59">
                  <c:v>2026-12</c:v>
                </c:pt>
              </c:strCache>
            </c:strRef>
          </c:cat>
          <c:val>
            <c:numRef>
              <c:f>'Chart Data'!$C$3:$C$62</c:f>
              <c:numCache>
                <c:formatCode>General</c:formatCode>
                <c:ptCount val="60"/>
                <c:pt idx="0">
                  <c:v>201</c:v>
                </c:pt>
                <c:pt idx="1">
                  <c:v>256</c:v>
                </c:pt>
                <c:pt idx="2">
                  <c:v>328</c:v>
                </c:pt>
                <c:pt idx="3">
                  <c:v>321</c:v>
                </c:pt>
                <c:pt idx="4">
                  <c:v>282</c:v>
                </c:pt>
                <c:pt idx="5">
                  <c:v>235</c:v>
                </c:pt>
                <c:pt idx="6">
                  <c:v>127</c:v>
                </c:pt>
                <c:pt idx="7">
                  <c:v>167</c:v>
                </c:pt>
                <c:pt idx="8">
                  <c:v>231</c:v>
                </c:pt>
                <c:pt idx="9">
                  <c:v>221</c:v>
                </c:pt>
                <c:pt idx="10">
                  <c:v>261</c:v>
                </c:pt>
                <c:pt idx="11">
                  <c:v>279</c:v>
                </c:pt>
                <c:pt idx="12">
                  <c:v>321</c:v>
                </c:pt>
                <c:pt idx="13">
                  <c:v>402</c:v>
                </c:pt>
                <c:pt idx="14">
                  <c:v>430</c:v>
                </c:pt>
                <c:pt idx="15">
                  <c:v>400</c:v>
                </c:pt>
                <c:pt idx="16">
                  <c:v>379</c:v>
                </c:pt>
                <c:pt idx="17">
                  <c:v>345</c:v>
                </c:pt>
                <c:pt idx="18">
                  <c:v>226</c:v>
                </c:pt>
                <c:pt idx="19">
                  <c:v>244</c:v>
                </c:pt>
                <c:pt idx="20">
                  <c:v>180</c:v>
                </c:pt>
                <c:pt idx="21">
                  <c:v>277</c:v>
                </c:pt>
                <c:pt idx="22">
                  <c:v>287</c:v>
                </c:pt>
                <c:pt idx="23">
                  <c:v>353</c:v>
                </c:pt>
                <c:pt idx="24">
                  <c:v>438</c:v>
                </c:pt>
                <c:pt idx="25">
                  <c:v>516</c:v>
                </c:pt>
                <c:pt idx="26">
                  <c:v>543</c:v>
                </c:pt>
                <c:pt idx="27">
                  <c:v>539</c:v>
                </c:pt>
                <c:pt idx="28">
                  <c:v>449</c:v>
                </c:pt>
                <c:pt idx="29">
                  <c:v>426</c:v>
                </c:pt>
                <c:pt idx="30">
                  <c:v>379</c:v>
                </c:pt>
                <c:pt idx="31">
                  <c:v>352</c:v>
                </c:pt>
                <c:pt idx="32">
                  <c:v>320</c:v>
                </c:pt>
                <c:pt idx="33">
                  <c:v>341</c:v>
                </c:pt>
                <c:pt idx="34">
                  <c:v>410</c:v>
                </c:pt>
                <c:pt idx="35">
                  <c:v>357</c:v>
                </c:pt>
                <c:pt idx="36">
                  <c:v>472</c:v>
                </c:pt>
                <c:pt idx="37">
                  <c:v>550</c:v>
                </c:pt>
                <c:pt idx="38">
                  <c:v>584</c:v>
                </c:pt>
                <c:pt idx="39">
                  <c:v>580</c:v>
                </c:pt>
                <c:pt idx="40">
                  <c:v>468</c:v>
                </c:pt>
                <c:pt idx="41">
                  <c:v>373</c:v>
                </c:pt>
                <c:pt idx="42">
                  <c:v>380</c:v>
                </c:pt>
                <c:pt idx="43">
                  <c:v>359</c:v>
                </c:pt>
                <c:pt idx="44">
                  <c:v>361</c:v>
                </c:pt>
                <c:pt idx="45">
                  <c:v>335</c:v>
                </c:pt>
                <c:pt idx="46">
                  <c:v>349</c:v>
                </c:pt>
                <c:pt idx="47">
                  <c:v>337</c:v>
                </c:pt>
                <c:pt idx="48">
                  <c:v>408</c:v>
                </c:pt>
                <c:pt idx="49">
                  <c:v>526</c:v>
                </c:pt>
                <c:pt idx="50">
                  <c:v>578</c:v>
                </c:pt>
                <c:pt idx="51">
                  <c:v>460</c:v>
                </c:pt>
                <c:pt idx="52">
                  <c:v>455</c:v>
                </c:pt>
                <c:pt idx="53">
                  <c:v>428</c:v>
                </c:pt>
                <c:pt idx="54">
                  <c:v>377</c:v>
                </c:pt>
                <c:pt idx="55">
                  <c:v>359</c:v>
                </c:pt>
                <c:pt idx="56">
                  <c:v>353</c:v>
                </c:pt>
                <c:pt idx="57">
                  <c:v>335</c:v>
                </c:pt>
                <c:pt idx="58">
                  <c:v>347</c:v>
                </c:pt>
                <c:pt idx="59">
                  <c:v>352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'Chart Data'!D2</c:f>
              <c:strCache>
                <c:ptCount val="1"/>
                <c:pt idx="0">
                  <c:v>LR Predicted</c:v>
                </c:pt>
              </c:strCache>
            </c:strRef>
          </c:tx>
          <c:spPr>
            <a:solidFill>
              <a:srgbClr val="ed7d31"/>
            </a:solidFill>
            <a:ln w="140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Data'!$A$3:$A$62</c:f>
              <c:strCache>
                <c:ptCount val="60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  <c:pt idx="56">
                  <c:v>2026-09</c:v>
                </c:pt>
                <c:pt idx="57">
                  <c:v>2026-10</c:v>
                </c:pt>
                <c:pt idx="58">
                  <c:v>2026-11</c:v>
                </c:pt>
                <c:pt idx="59">
                  <c:v>2026-12</c:v>
                </c:pt>
              </c:strCache>
            </c:strRef>
          </c:cat>
          <c:val>
            <c:numRef>
              <c:f>'Chart Data'!$D$3:$D$62</c:f>
              <c:numCache>
                <c:formatCode>General</c:formatCode>
                <c:ptCount val="60"/>
                <c:pt idx="0">
                  <c:v>236</c:v>
                </c:pt>
                <c:pt idx="1">
                  <c:v>269</c:v>
                </c:pt>
                <c:pt idx="2">
                  <c:v>346</c:v>
                </c:pt>
                <c:pt idx="3">
                  <c:v>366</c:v>
                </c:pt>
                <c:pt idx="4">
                  <c:v>310</c:v>
                </c:pt>
                <c:pt idx="5">
                  <c:v>282</c:v>
                </c:pt>
                <c:pt idx="6">
                  <c:v>186</c:v>
                </c:pt>
                <c:pt idx="7">
                  <c:v>208</c:v>
                </c:pt>
                <c:pt idx="8">
                  <c:v>185</c:v>
                </c:pt>
                <c:pt idx="9">
                  <c:v>210</c:v>
                </c:pt>
                <c:pt idx="10">
                  <c:v>237</c:v>
                </c:pt>
                <c:pt idx="11">
                  <c:v>220</c:v>
                </c:pt>
                <c:pt idx="12">
                  <c:v>330</c:v>
                </c:pt>
                <c:pt idx="13">
                  <c:v>394</c:v>
                </c:pt>
                <c:pt idx="14">
                  <c:v>365</c:v>
                </c:pt>
                <c:pt idx="15">
                  <c:v>391</c:v>
                </c:pt>
                <c:pt idx="16">
                  <c:v>362</c:v>
                </c:pt>
                <c:pt idx="17">
                  <c:v>318</c:v>
                </c:pt>
                <c:pt idx="18">
                  <c:v>238</c:v>
                </c:pt>
                <c:pt idx="19">
                  <c:v>229</c:v>
                </c:pt>
                <c:pt idx="20">
                  <c:v>225</c:v>
                </c:pt>
                <c:pt idx="21">
                  <c:v>312</c:v>
                </c:pt>
                <c:pt idx="22">
                  <c:v>305</c:v>
                </c:pt>
                <c:pt idx="23">
                  <c:v>294</c:v>
                </c:pt>
                <c:pt idx="24">
                  <c:v>413</c:v>
                </c:pt>
                <c:pt idx="25">
                  <c:v>429</c:v>
                </c:pt>
                <c:pt idx="26">
                  <c:v>471</c:v>
                </c:pt>
                <c:pt idx="27">
                  <c:v>480</c:v>
                </c:pt>
                <c:pt idx="28">
                  <c:v>467</c:v>
                </c:pt>
                <c:pt idx="29">
                  <c:v>404</c:v>
                </c:pt>
                <c:pt idx="30">
                  <c:v>311</c:v>
                </c:pt>
                <c:pt idx="31">
                  <c:v>275</c:v>
                </c:pt>
                <c:pt idx="32">
                  <c:v>272</c:v>
                </c:pt>
                <c:pt idx="33">
                  <c:v>339</c:v>
                </c:pt>
                <c:pt idx="34">
                  <c:v>381</c:v>
                </c:pt>
                <c:pt idx="35">
                  <c:v>348</c:v>
                </c:pt>
                <c:pt idx="36">
                  <c:v>472</c:v>
                </c:pt>
                <c:pt idx="37">
                  <c:v>501</c:v>
                </c:pt>
                <c:pt idx="38">
                  <c:v>548</c:v>
                </c:pt>
                <c:pt idx="39">
                  <c:v>548</c:v>
                </c:pt>
                <c:pt idx="40">
                  <c:v>465</c:v>
                </c:pt>
                <c:pt idx="41">
                  <c:v>425</c:v>
                </c:pt>
                <c:pt idx="42">
                  <c:v>353</c:v>
                </c:pt>
                <c:pt idx="43">
                  <c:v>331</c:v>
                </c:pt>
                <c:pt idx="44">
                  <c:v>339</c:v>
                </c:pt>
                <c:pt idx="45">
                  <c:v>383</c:v>
                </c:pt>
                <c:pt idx="46">
                  <c:v>436</c:v>
                </c:pt>
                <c:pt idx="47">
                  <c:v>411</c:v>
                </c:pt>
                <c:pt idx="48">
                  <c:v>510</c:v>
                </c:pt>
                <c:pt idx="49">
                  <c:v>542</c:v>
                </c:pt>
                <c:pt idx="50">
                  <c:v>562</c:v>
                </c:pt>
                <c:pt idx="51">
                  <c:v>576</c:v>
                </c:pt>
                <c:pt idx="52">
                  <c:v>544</c:v>
                </c:pt>
                <c:pt idx="53">
                  <c:v>500</c:v>
                </c:pt>
                <c:pt idx="54">
                  <c:v>416</c:v>
                </c:pt>
                <c:pt idx="55">
                  <c:v>397</c:v>
                </c:pt>
                <c:pt idx="56">
                  <c:v>398</c:v>
                </c:pt>
                <c:pt idx="57">
                  <c:v>454</c:v>
                </c:pt>
                <c:pt idx="58">
                  <c:v>485</c:v>
                </c:pt>
                <c:pt idx="59">
                  <c:v>461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38739"/>
        <c:axId val="21400212"/>
      </c:lineChart>
      <c:catAx>
        <c:axId val="96338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00212"/>
        <c:crosses val="autoZero"/>
        <c:auto val="1"/>
        <c:lblAlgn val="ctr"/>
        <c:lblOffset val="100"/>
        <c:noMultiLvlLbl val="0"/>
      </c:catAx>
      <c:valAx>
        <c:axId val="21400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Consumption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38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25</xdr:row>
      <xdr:rowOff>134280</xdr:rowOff>
    </xdr:to>
    <xdr:graphicFrame>
      <xdr:nvGraphicFramePr>
        <xdr:cNvPr id="0" name="Chart 1"/>
        <xdr:cNvGraphicFramePr/>
      </xdr:nvGraphicFramePr>
      <xdr:xfrm>
        <a:off x="4558680" y="45720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F4" s="3" t="s">
        <v>3</v>
      </c>
      <c r="G4" s="3"/>
      <c r="H4" s="3"/>
    </row>
    <row r="5" customFormat="false" ht="26.8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F5" s="4" t="s">
        <v>4</v>
      </c>
      <c r="G5" s="4" t="s">
        <v>5</v>
      </c>
      <c r="H5" s="4" t="s">
        <v>6</v>
      </c>
    </row>
    <row r="6" customFormat="false" ht="19.5" hidden="false" customHeight="true" outlineLevel="0" collapsed="false">
      <c r="A6" s="5" t="s">
        <v>8</v>
      </c>
      <c r="B6" s="6" t="n">
        <v>0.9697</v>
      </c>
      <c r="C6" s="7" t="n">
        <v>16.7</v>
      </c>
      <c r="D6" s="7" t="n">
        <v>21.2</v>
      </c>
      <c r="F6" s="8" t="s">
        <v>9</v>
      </c>
      <c r="G6" s="9" t="n">
        <v>0.4344</v>
      </c>
      <c r="H6" s="10" t="n">
        <v>1</v>
      </c>
    </row>
    <row r="7" customFormat="false" ht="19.5" hidden="false" customHeight="true" outlineLevel="0" collapsed="false">
      <c r="A7" s="11" t="s">
        <v>10</v>
      </c>
      <c r="B7" s="12" t="n">
        <v>0.7498</v>
      </c>
      <c r="C7" s="13" t="n">
        <v>52</v>
      </c>
      <c r="D7" s="13" t="n">
        <v>68.4</v>
      </c>
      <c r="F7" s="14" t="s">
        <v>11</v>
      </c>
      <c r="G7" s="15" t="n">
        <v>0.2913</v>
      </c>
      <c r="H7" s="16" t="n">
        <v>2</v>
      </c>
    </row>
    <row r="8" customFormat="false" ht="19.5" hidden="false" customHeight="true" outlineLevel="0" collapsed="false">
      <c r="F8" s="17" t="s">
        <v>12</v>
      </c>
      <c r="G8" s="18" t="n">
        <v>0.2061</v>
      </c>
      <c r="H8" s="19" t="n">
        <v>3</v>
      </c>
    </row>
    <row r="9" customFormat="false" ht="19.5" hidden="false" customHeight="true" outlineLevel="0" collapsed="false">
      <c r="A9" s="20" t="s">
        <v>13</v>
      </c>
      <c r="B9" s="20"/>
      <c r="C9" s="20"/>
      <c r="D9" s="20"/>
      <c r="F9" s="14" t="s">
        <v>14</v>
      </c>
      <c r="G9" s="15" t="n">
        <v>0.063</v>
      </c>
      <c r="H9" s="16" t="n">
        <v>4</v>
      </c>
    </row>
    <row r="10" customFormat="false" ht="19.5" hidden="false" customHeight="true" outlineLevel="0" collapsed="false">
      <c r="F10" s="17" t="s">
        <v>15</v>
      </c>
      <c r="G10" s="18" t="n">
        <v>0.0053</v>
      </c>
      <c r="H10" s="19" t="n">
        <v>5</v>
      </c>
    </row>
    <row r="11" customFormat="false" ht="21.75" hidden="false" customHeight="true" outlineLevel="0" collapsed="false">
      <c r="A11" s="3" t="s">
        <v>16</v>
      </c>
      <c r="B11" s="3"/>
      <c r="C11" s="3"/>
      <c r="D11" s="3"/>
      <c r="E11" s="3"/>
      <c r="F11" s="3"/>
      <c r="G11" s="3"/>
      <c r="H11" s="3"/>
    </row>
    <row r="12" customFormat="false" ht="21.75" hidden="false" customHeight="true" outlineLevel="0" collapsed="false">
      <c r="A12" s="21" t="s">
        <v>17</v>
      </c>
      <c r="B12" s="21"/>
      <c r="C12" s="21"/>
      <c r="D12" s="21"/>
      <c r="E12" s="21"/>
      <c r="F12" s="21"/>
      <c r="G12" s="21"/>
      <c r="H12" s="21"/>
    </row>
    <row r="14" customFormat="false" ht="21.75" hidden="false" customHeight="true" outlineLevel="0" collapsed="false">
      <c r="A14" s="3" t="s">
        <v>18</v>
      </c>
      <c r="B14" s="3"/>
      <c r="C14" s="3"/>
      <c r="D14" s="3"/>
      <c r="E14" s="3"/>
      <c r="F14" s="3"/>
      <c r="G14" s="3"/>
      <c r="H14" s="3"/>
    </row>
    <row r="15" customFormat="false" ht="21.75" hidden="false" customHeight="true" outlineLevel="0" collapsed="false">
      <c r="A15" s="22" t="s">
        <v>19</v>
      </c>
      <c r="B15" s="22"/>
      <c r="C15" s="22"/>
      <c r="D15" s="23" t="s">
        <v>20</v>
      </c>
      <c r="E15" s="23"/>
      <c r="F15" s="23"/>
      <c r="G15" s="23"/>
      <c r="H15" s="23"/>
    </row>
    <row r="16" customFormat="false" ht="21.75" hidden="false" customHeight="true" outlineLevel="0" collapsed="false">
      <c r="A16" s="24" t="s">
        <v>21</v>
      </c>
      <c r="B16" s="24"/>
      <c r="C16" s="24"/>
      <c r="D16" s="25" t="s">
        <v>22</v>
      </c>
      <c r="E16" s="25"/>
      <c r="F16" s="25"/>
      <c r="G16" s="25"/>
      <c r="H16" s="25"/>
    </row>
    <row r="17" customFormat="false" ht="21.75" hidden="false" customHeight="true" outlineLevel="0" collapsed="false">
      <c r="A17" s="22" t="s">
        <v>23</v>
      </c>
      <c r="B17" s="22"/>
      <c r="C17" s="22"/>
      <c r="D17" s="23" t="s">
        <v>24</v>
      </c>
      <c r="E17" s="23"/>
      <c r="F17" s="23"/>
      <c r="G17" s="23"/>
      <c r="H17" s="23"/>
    </row>
    <row r="18" customFormat="false" ht="21.75" hidden="false" customHeight="true" outlineLevel="0" collapsed="false">
      <c r="A18" s="24" t="s">
        <v>25</v>
      </c>
      <c r="B18" s="24"/>
      <c r="C18" s="24"/>
      <c r="D18" s="25" t="s">
        <v>26</v>
      </c>
      <c r="E18" s="25"/>
      <c r="F18" s="25"/>
      <c r="G18" s="25"/>
      <c r="H18" s="25"/>
    </row>
  </sheetData>
  <mergeCells count="16">
    <mergeCell ref="A1:H1"/>
    <mergeCell ref="A2:H2"/>
    <mergeCell ref="A4:D4"/>
    <mergeCell ref="F4:H4"/>
    <mergeCell ref="A9:D9"/>
    <mergeCell ref="A11:H11"/>
    <mergeCell ref="A12:H12"/>
    <mergeCell ref="A14:H14"/>
    <mergeCell ref="A15:C15"/>
    <mergeCell ref="D15:H15"/>
    <mergeCell ref="A16:C16"/>
    <mergeCell ref="D16:H16"/>
    <mergeCell ref="A17:C17"/>
    <mergeCell ref="D17:H17"/>
    <mergeCell ref="A18:C18"/>
    <mergeCell ref="D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1" min="10" style="0" width="12"/>
  </cols>
  <sheetData>
    <row r="1" customFormat="false" ht="36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4" t="s">
        <v>28</v>
      </c>
      <c r="B2" s="4" t="s">
        <v>29</v>
      </c>
      <c r="C2" s="4" t="s">
        <v>15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</row>
    <row r="3" customFormat="false" ht="18" hidden="false" customHeight="true" outlineLevel="0" collapsed="false">
      <c r="A3" s="11" t="s">
        <v>38</v>
      </c>
      <c r="B3" s="26" t="n">
        <v>2022</v>
      </c>
      <c r="C3" s="11" t="s">
        <v>39</v>
      </c>
      <c r="D3" s="27" t="n">
        <v>15.04</v>
      </c>
      <c r="E3" s="27" t="n">
        <v>70.38</v>
      </c>
      <c r="F3" s="27" t="n">
        <v>12.83</v>
      </c>
      <c r="G3" s="28" t="n">
        <v>181</v>
      </c>
      <c r="H3" s="28" t="n">
        <v>201</v>
      </c>
      <c r="I3" s="28" t="n">
        <v>236</v>
      </c>
      <c r="J3" s="29" t="n">
        <v>20</v>
      </c>
      <c r="K3" s="30" t="n">
        <v>0.110497237569061</v>
      </c>
    </row>
    <row r="4" customFormat="false" ht="18" hidden="false" customHeight="true" outlineLevel="0" collapsed="false">
      <c r="A4" s="31" t="s">
        <v>40</v>
      </c>
      <c r="B4" s="32" t="n">
        <v>2022</v>
      </c>
      <c r="C4" s="31" t="s">
        <v>39</v>
      </c>
      <c r="D4" s="33" t="n">
        <v>17.5</v>
      </c>
      <c r="E4" s="33" t="n">
        <v>60.56</v>
      </c>
      <c r="F4" s="33" t="n">
        <v>14.95</v>
      </c>
      <c r="G4" s="34" t="n">
        <v>239</v>
      </c>
      <c r="H4" s="34" t="n">
        <v>256</v>
      </c>
      <c r="I4" s="34" t="n">
        <v>269</v>
      </c>
      <c r="J4" s="35" t="n">
        <v>17</v>
      </c>
      <c r="K4" s="36" t="n">
        <v>0.0711297071129707</v>
      </c>
    </row>
    <row r="5" customFormat="false" ht="18" hidden="false" customHeight="true" outlineLevel="0" collapsed="false">
      <c r="A5" s="11" t="s">
        <v>41</v>
      </c>
      <c r="B5" s="26" t="n">
        <v>2022</v>
      </c>
      <c r="C5" s="11" t="s">
        <v>42</v>
      </c>
      <c r="D5" s="27" t="n">
        <v>26.06</v>
      </c>
      <c r="E5" s="27" t="n">
        <v>39.52</v>
      </c>
      <c r="F5" s="27" t="n">
        <v>17.45</v>
      </c>
      <c r="G5" s="28" t="n">
        <v>309</v>
      </c>
      <c r="H5" s="28" t="n">
        <v>328</v>
      </c>
      <c r="I5" s="28" t="n">
        <v>346</v>
      </c>
      <c r="J5" s="29" t="n">
        <v>19</v>
      </c>
      <c r="K5" s="30" t="n">
        <v>0.0614886731391586</v>
      </c>
    </row>
    <row r="6" customFormat="false" ht="18" hidden="false" customHeight="true" outlineLevel="0" collapsed="false">
      <c r="A6" s="31" t="s">
        <v>43</v>
      </c>
      <c r="B6" s="32" t="n">
        <v>2022</v>
      </c>
      <c r="C6" s="31" t="s">
        <v>42</v>
      </c>
      <c r="D6" s="33" t="n">
        <v>32.48</v>
      </c>
      <c r="E6" s="33" t="n">
        <v>28.48</v>
      </c>
      <c r="F6" s="33" t="n">
        <v>16.76</v>
      </c>
      <c r="G6" s="34" t="n">
        <v>285</v>
      </c>
      <c r="H6" s="34" t="n">
        <v>321</v>
      </c>
      <c r="I6" s="34" t="n">
        <v>366</v>
      </c>
      <c r="J6" s="35" t="n">
        <v>36</v>
      </c>
      <c r="K6" s="36" t="n">
        <v>0.126315789473684</v>
      </c>
    </row>
    <row r="7" customFormat="false" ht="18" hidden="false" customHeight="true" outlineLevel="0" collapsed="false">
      <c r="A7" s="11" t="s">
        <v>44</v>
      </c>
      <c r="B7" s="26" t="n">
        <v>2022</v>
      </c>
      <c r="C7" s="11" t="s">
        <v>42</v>
      </c>
      <c r="D7" s="27" t="n">
        <v>32.9</v>
      </c>
      <c r="E7" s="27" t="n">
        <v>40.71</v>
      </c>
      <c r="F7" s="27" t="n">
        <v>13.18</v>
      </c>
      <c r="G7" s="28" t="n">
        <v>266</v>
      </c>
      <c r="H7" s="28" t="n">
        <v>282</v>
      </c>
      <c r="I7" s="28" t="n">
        <v>310</v>
      </c>
      <c r="J7" s="29" t="n">
        <v>16</v>
      </c>
      <c r="K7" s="30" t="n">
        <v>0.0601503759398496</v>
      </c>
    </row>
    <row r="8" customFormat="false" ht="18" hidden="false" customHeight="true" outlineLevel="0" collapsed="false">
      <c r="A8" s="31" t="s">
        <v>45</v>
      </c>
      <c r="B8" s="32" t="n">
        <v>2022</v>
      </c>
      <c r="C8" s="31" t="s">
        <v>42</v>
      </c>
      <c r="D8" s="33" t="n">
        <v>32.84</v>
      </c>
      <c r="E8" s="33" t="n">
        <v>46.12</v>
      </c>
      <c r="F8" s="33" t="n">
        <v>11.44</v>
      </c>
      <c r="G8" s="34" t="n">
        <v>198</v>
      </c>
      <c r="H8" s="34" t="n">
        <v>235</v>
      </c>
      <c r="I8" s="34" t="n">
        <v>282</v>
      </c>
      <c r="J8" s="35" t="n">
        <v>37</v>
      </c>
      <c r="K8" s="36" t="n">
        <v>0.186868686868687</v>
      </c>
    </row>
    <row r="9" customFormat="false" ht="18" hidden="false" customHeight="true" outlineLevel="0" collapsed="false">
      <c r="A9" s="11" t="s">
        <v>46</v>
      </c>
      <c r="B9" s="26" t="n">
        <v>2022</v>
      </c>
      <c r="C9" s="11" t="s">
        <v>47</v>
      </c>
      <c r="D9" s="27" t="n">
        <v>28.99</v>
      </c>
      <c r="E9" s="27" t="n">
        <v>75.88</v>
      </c>
      <c r="F9" s="27" t="n">
        <v>6.42</v>
      </c>
      <c r="G9" s="28" t="n">
        <v>91</v>
      </c>
      <c r="H9" s="28" t="n">
        <v>127</v>
      </c>
      <c r="I9" s="28" t="n">
        <v>186</v>
      </c>
      <c r="J9" s="29" t="n">
        <v>36</v>
      </c>
      <c r="K9" s="30" t="n">
        <v>0.395604395604396</v>
      </c>
    </row>
    <row r="10" customFormat="false" ht="18" hidden="false" customHeight="true" outlineLevel="0" collapsed="false">
      <c r="A10" s="31" t="s">
        <v>48</v>
      </c>
      <c r="B10" s="32" t="n">
        <v>2022</v>
      </c>
      <c r="C10" s="31" t="s">
        <v>47</v>
      </c>
      <c r="D10" s="33" t="n">
        <v>29.46</v>
      </c>
      <c r="E10" s="33" t="n">
        <v>71.49</v>
      </c>
      <c r="F10" s="33" t="n">
        <v>8.85</v>
      </c>
      <c r="G10" s="34" t="n">
        <v>141</v>
      </c>
      <c r="H10" s="34" t="n">
        <v>167</v>
      </c>
      <c r="I10" s="34" t="n">
        <v>208</v>
      </c>
      <c r="J10" s="35" t="n">
        <v>26</v>
      </c>
      <c r="K10" s="36" t="n">
        <v>0.184397163120567</v>
      </c>
    </row>
    <row r="11" customFormat="false" ht="18" hidden="false" customHeight="true" outlineLevel="0" collapsed="false">
      <c r="A11" s="11" t="s">
        <v>49</v>
      </c>
      <c r="B11" s="26" t="n">
        <v>2022</v>
      </c>
      <c r="C11" s="11" t="s">
        <v>47</v>
      </c>
      <c r="D11" s="27" t="n">
        <v>27.88</v>
      </c>
      <c r="E11" s="27" t="n">
        <v>76.67</v>
      </c>
      <c r="F11" s="27" t="n">
        <v>7.96</v>
      </c>
      <c r="G11" s="28" t="n">
        <v>276</v>
      </c>
      <c r="H11" s="28" t="n">
        <v>231</v>
      </c>
      <c r="I11" s="28" t="n">
        <v>185</v>
      </c>
      <c r="J11" s="29" t="n">
        <v>-45</v>
      </c>
      <c r="K11" s="30" t="n">
        <v>-0.16304347826087</v>
      </c>
    </row>
    <row r="12" customFormat="false" ht="18" hidden="false" customHeight="true" outlineLevel="0" collapsed="false">
      <c r="A12" s="31" t="s">
        <v>50</v>
      </c>
      <c r="B12" s="32" t="n">
        <v>2022</v>
      </c>
      <c r="C12" s="31" t="s">
        <v>51</v>
      </c>
      <c r="D12" s="33" t="n">
        <v>24.02</v>
      </c>
      <c r="E12" s="33" t="n">
        <v>74.8</v>
      </c>
      <c r="F12" s="33" t="n">
        <v>9.85</v>
      </c>
      <c r="G12" s="34" t="n">
        <v>214</v>
      </c>
      <c r="H12" s="34" t="n">
        <v>221</v>
      </c>
      <c r="I12" s="34" t="n">
        <v>210</v>
      </c>
      <c r="J12" s="35" t="n">
        <v>7</v>
      </c>
      <c r="K12" s="36" t="n">
        <v>0.0327102803738318</v>
      </c>
    </row>
    <row r="13" customFormat="false" ht="18" hidden="false" customHeight="true" outlineLevel="0" collapsed="false">
      <c r="A13" s="11" t="s">
        <v>52</v>
      </c>
      <c r="B13" s="26" t="n">
        <v>2022</v>
      </c>
      <c r="C13" s="11" t="s">
        <v>51</v>
      </c>
      <c r="D13" s="27" t="n">
        <v>19.78</v>
      </c>
      <c r="E13" s="27" t="n">
        <v>69.09</v>
      </c>
      <c r="F13" s="27" t="n">
        <v>12.65</v>
      </c>
      <c r="G13" s="28" t="n">
        <v>282</v>
      </c>
      <c r="H13" s="28" t="n">
        <v>261</v>
      </c>
      <c r="I13" s="28" t="n">
        <v>237</v>
      </c>
      <c r="J13" s="29" t="n">
        <v>-21</v>
      </c>
      <c r="K13" s="30" t="n">
        <v>-0.074468085106383</v>
      </c>
    </row>
    <row r="14" customFormat="false" ht="18" hidden="false" customHeight="true" outlineLevel="0" collapsed="false">
      <c r="A14" s="31" t="s">
        <v>53</v>
      </c>
      <c r="B14" s="32" t="n">
        <v>2022</v>
      </c>
      <c r="C14" s="31" t="s">
        <v>39</v>
      </c>
      <c r="D14" s="33" t="n">
        <v>17.22</v>
      </c>
      <c r="E14" s="33" t="n">
        <v>61.47</v>
      </c>
      <c r="F14" s="33" t="n">
        <v>13.97</v>
      </c>
      <c r="G14" s="34" t="n">
        <v>278</v>
      </c>
      <c r="H14" s="34" t="n">
        <v>279</v>
      </c>
      <c r="I14" s="34" t="n">
        <v>220</v>
      </c>
      <c r="J14" s="35" t="n">
        <v>1</v>
      </c>
      <c r="K14" s="36" t="n">
        <v>0.00359712230215827</v>
      </c>
    </row>
    <row r="15" customFormat="false" ht="18" hidden="false" customHeight="true" outlineLevel="0" collapsed="false">
      <c r="A15" s="11" t="s">
        <v>54</v>
      </c>
      <c r="B15" s="26" t="n">
        <v>2023</v>
      </c>
      <c r="C15" s="11" t="s">
        <v>39</v>
      </c>
      <c r="D15" s="27" t="n">
        <v>15.4</v>
      </c>
      <c r="E15" s="27" t="n">
        <v>59.27</v>
      </c>
      <c r="F15" s="27" t="n">
        <v>14.34</v>
      </c>
      <c r="G15" s="28" t="n">
        <v>311</v>
      </c>
      <c r="H15" s="28" t="n">
        <v>321</v>
      </c>
      <c r="I15" s="28" t="n">
        <v>330</v>
      </c>
      <c r="J15" s="29" t="n">
        <v>10</v>
      </c>
      <c r="K15" s="30" t="n">
        <v>0.0321543408360129</v>
      </c>
    </row>
    <row r="16" customFormat="false" ht="18" hidden="false" customHeight="true" outlineLevel="0" collapsed="false">
      <c r="A16" s="31" t="s">
        <v>55</v>
      </c>
      <c r="B16" s="32" t="n">
        <v>2023</v>
      </c>
      <c r="C16" s="31" t="s">
        <v>39</v>
      </c>
      <c r="D16" s="33" t="n">
        <v>20.76</v>
      </c>
      <c r="E16" s="33" t="n">
        <v>39.89</v>
      </c>
      <c r="F16" s="33" t="n">
        <v>17.65</v>
      </c>
      <c r="G16" s="34" t="n">
        <v>384</v>
      </c>
      <c r="H16" s="34" t="n">
        <v>402</v>
      </c>
      <c r="I16" s="34" t="n">
        <v>394</v>
      </c>
      <c r="J16" s="35" t="n">
        <v>18</v>
      </c>
      <c r="K16" s="36" t="n">
        <v>0.046875</v>
      </c>
    </row>
    <row r="17" customFormat="false" ht="18" hidden="false" customHeight="true" outlineLevel="0" collapsed="false">
      <c r="A17" s="11" t="s">
        <v>56</v>
      </c>
      <c r="B17" s="26" t="n">
        <v>2023</v>
      </c>
      <c r="C17" s="11" t="s">
        <v>42</v>
      </c>
      <c r="D17" s="27" t="n">
        <v>24.39</v>
      </c>
      <c r="E17" s="27" t="n">
        <v>46.43</v>
      </c>
      <c r="F17" s="27" t="n">
        <v>13.96</v>
      </c>
      <c r="G17" s="28" t="n">
        <v>472</v>
      </c>
      <c r="H17" s="28" t="n">
        <v>430</v>
      </c>
      <c r="I17" s="28" t="n">
        <v>365</v>
      </c>
      <c r="J17" s="29" t="n">
        <v>-42</v>
      </c>
      <c r="K17" s="30" t="n">
        <v>-0.0889830508474576</v>
      </c>
    </row>
    <row r="18" customFormat="false" ht="18" hidden="false" customHeight="true" outlineLevel="0" collapsed="false">
      <c r="A18" s="31" t="s">
        <v>57</v>
      </c>
      <c r="B18" s="32" t="n">
        <v>2023</v>
      </c>
      <c r="C18" s="31" t="s">
        <v>42</v>
      </c>
      <c r="D18" s="33" t="n">
        <v>29.07</v>
      </c>
      <c r="E18" s="33" t="n">
        <v>38.49</v>
      </c>
      <c r="F18" s="33" t="n">
        <v>15.63</v>
      </c>
      <c r="G18" s="34" t="n">
        <v>402</v>
      </c>
      <c r="H18" s="34" t="n">
        <v>400</v>
      </c>
      <c r="I18" s="34" t="n">
        <v>391</v>
      </c>
      <c r="J18" s="35" t="n">
        <v>-2</v>
      </c>
      <c r="K18" s="36" t="n">
        <v>-0.00497512437810945</v>
      </c>
    </row>
    <row r="19" customFormat="false" ht="18" hidden="false" customHeight="true" outlineLevel="0" collapsed="false">
      <c r="A19" s="11" t="s">
        <v>58</v>
      </c>
      <c r="B19" s="26" t="n">
        <v>2023</v>
      </c>
      <c r="C19" s="11" t="s">
        <v>42</v>
      </c>
      <c r="D19" s="27" t="n">
        <v>30.94</v>
      </c>
      <c r="E19" s="27" t="n">
        <v>43.04</v>
      </c>
      <c r="F19" s="27" t="n">
        <v>13.33</v>
      </c>
      <c r="G19" s="28" t="n">
        <v>379</v>
      </c>
      <c r="H19" s="28" t="n">
        <v>379</v>
      </c>
      <c r="I19" s="28" t="n">
        <v>362</v>
      </c>
      <c r="J19" s="29" t="n">
        <v>0</v>
      </c>
      <c r="K19" s="30" t="n">
        <v>0</v>
      </c>
    </row>
    <row r="20" customFormat="false" ht="18" hidden="false" customHeight="true" outlineLevel="0" collapsed="false">
      <c r="A20" s="31" t="s">
        <v>59</v>
      </c>
      <c r="B20" s="32" t="n">
        <v>2023</v>
      </c>
      <c r="C20" s="31" t="s">
        <v>42</v>
      </c>
      <c r="D20" s="33" t="n">
        <v>33.06</v>
      </c>
      <c r="E20" s="33" t="n">
        <v>51.7</v>
      </c>
      <c r="F20" s="33" t="n">
        <v>10.35</v>
      </c>
      <c r="G20" s="34" t="n">
        <v>354</v>
      </c>
      <c r="H20" s="34" t="n">
        <v>345</v>
      </c>
      <c r="I20" s="34" t="n">
        <v>318</v>
      </c>
      <c r="J20" s="35" t="n">
        <v>-9</v>
      </c>
      <c r="K20" s="36" t="n">
        <v>-0.0254237288135593</v>
      </c>
    </row>
    <row r="21" customFormat="false" ht="18" hidden="false" customHeight="true" outlineLevel="0" collapsed="false">
      <c r="A21" s="11" t="s">
        <v>60</v>
      </c>
      <c r="B21" s="26" t="n">
        <v>2023</v>
      </c>
      <c r="C21" s="11" t="s">
        <v>47</v>
      </c>
      <c r="D21" s="27" t="n">
        <v>29.37</v>
      </c>
      <c r="E21" s="27" t="n">
        <v>78.41</v>
      </c>
      <c r="F21" s="27" t="n">
        <v>6.48</v>
      </c>
      <c r="G21" s="28" t="n">
        <v>216</v>
      </c>
      <c r="H21" s="28" t="n">
        <v>226</v>
      </c>
      <c r="I21" s="28" t="n">
        <v>238</v>
      </c>
      <c r="J21" s="29" t="n">
        <v>10</v>
      </c>
      <c r="K21" s="30" t="n">
        <v>0.0462962962962963</v>
      </c>
    </row>
    <row r="22" customFormat="false" ht="18" hidden="false" customHeight="true" outlineLevel="0" collapsed="false">
      <c r="A22" s="31" t="s">
        <v>61</v>
      </c>
      <c r="B22" s="32" t="n">
        <v>2023</v>
      </c>
      <c r="C22" s="31" t="s">
        <v>47</v>
      </c>
      <c r="D22" s="33" t="n">
        <v>28.3</v>
      </c>
      <c r="E22" s="33" t="n">
        <v>80.75</v>
      </c>
      <c r="F22" s="33" t="n">
        <v>6.71</v>
      </c>
      <c r="G22" s="34" t="n">
        <v>273</v>
      </c>
      <c r="H22" s="34" t="n">
        <v>244</v>
      </c>
      <c r="I22" s="34" t="n">
        <v>229</v>
      </c>
      <c r="J22" s="35" t="n">
        <v>-29</v>
      </c>
      <c r="K22" s="36" t="n">
        <v>-0.106227106227106</v>
      </c>
    </row>
    <row r="23" customFormat="false" ht="18" hidden="false" customHeight="true" outlineLevel="0" collapsed="false">
      <c r="A23" s="11" t="s">
        <v>62</v>
      </c>
      <c r="B23" s="26" t="n">
        <v>2023</v>
      </c>
      <c r="C23" s="11" t="s">
        <v>47</v>
      </c>
      <c r="D23" s="27" t="n">
        <v>27.26</v>
      </c>
      <c r="E23" s="27" t="n">
        <v>81.66</v>
      </c>
      <c r="F23" s="27" t="n">
        <v>7.07</v>
      </c>
      <c r="G23" s="28" t="n">
        <v>126</v>
      </c>
      <c r="H23" s="28" t="n">
        <v>180</v>
      </c>
      <c r="I23" s="28" t="n">
        <v>225</v>
      </c>
      <c r="J23" s="29" t="n">
        <v>54</v>
      </c>
      <c r="K23" s="30" t="n">
        <v>0.428571428571429</v>
      </c>
    </row>
    <row r="24" customFormat="false" ht="18" hidden="false" customHeight="true" outlineLevel="0" collapsed="false">
      <c r="A24" s="31" t="s">
        <v>63</v>
      </c>
      <c r="B24" s="32" t="n">
        <v>2023</v>
      </c>
      <c r="C24" s="31" t="s">
        <v>51</v>
      </c>
      <c r="D24" s="33" t="n">
        <v>25.83</v>
      </c>
      <c r="E24" s="33" t="n">
        <v>64.17</v>
      </c>
      <c r="F24" s="33" t="n">
        <v>12.77</v>
      </c>
      <c r="G24" s="34" t="n">
        <v>267</v>
      </c>
      <c r="H24" s="34" t="n">
        <v>277</v>
      </c>
      <c r="I24" s="34" t="n">
        <v>312</v>
      </c>
      <c r="J24" s="35" t="n">
        <v>10</v>
      </c>
      <c r="K24" s="36" t="n">
        <v>0.0374531835205993</v>
      </c>
    </row>
    <row r="25" customFormat="false" ht="18" hidden="false" customHeight="true" outlineLevel="0" collapsed="false">
      <c r="A25" s="11" t="s">
        <v>64</v>
      </c>
      <c r="B25" s="26" t="n">
        <v>2023</v>
      </c>
      <c r="C25" s="11" t="s">
        <v>51</v>
      </c>
      <c r="D25" s="27" t="n">
        <v>22.05</v>
      </c>
      <c r="E25" s="27" t="n">
        <v>62.18</v>
      </c>
      <c r="F25" s="27" t="n">
        <v>11.5</v>
      </c>
      <c r="G25" s="28" t="n">
        <v>283</v>
      </c>
      <c r="H25" s="28" t="n">
        <v>287</v>
      </c>
      <c r="I25" s="28" t="n">
        <v>305</v>
      </c>
      <c r="J25" s="29" t="n">
        <v>4</v>
      </c>
      <c r="K25" s="30" t="n">
        <v>0.0141342756183746</v>
      </c>
    </row>
    <row r="26" customFormat="false" ht="18" hidden="false" customHeight="true" outlineLevel="0" collapsed="false">
      <c r="A26" s="31" t="s">
        <v>65</v>
      </c>
      <c r="B26" s="32" t="n">
        <v>2023</v>
      </c>
      <c r="C26" s="31" t="s">
        <v>39</v>
      </c>
      <c r="D26" s="33" t="n">
        <v>17.67</v>
      </c>
      <c r="E26" s="33" t="n">
        <v>54.55</v>
      </c>
      <c r="F26" s="33" t="n">
        <v>13.91</v>
      </c>
      <c r="G26" s="34" t="n">
        <v>360</v>
      </c>
      <c r="H26" s="34" t="n">
        <v>353</v>
      </c>
      <c r="I26" s="34" t="n">
        <v>294</v>
      </c>
      <c r="J26" s="35" t="n">
        <v>-7</v>
      </c>
      <c r="K26" s="36" t="n">
        <v>-0.0194444444444444</v>
      </c>
    </row>
    <row r="27" customFormat="false" ht="18" hidden="false" customHeight="true" outlineLevel="0" collapsed="false">
      <c r="A27" s="11" t="s">
        <v>66</v>
      </c>
      <c r="B27" s="26" t="n">
        <v>2024</v>
      </c>
      <c r="C27" s="11" t="s">
        <v>39</v>
      </c>
      <c r="D27" s="27" t="n">
        <v>15.5</v>
      </c>
      <c r="E27" s="27" t="n">
        <v>50.3</v>
      </c>
      <c r="F27" s="27" t="n">
        <v>15.04</v>
      </c>
      <c r="G27" s="28" t="n">
        <v>439</v>
      </c>
      <c r="H27" s="28" t="n">
        <v>438</v>
      </c>
      <c r="I27" s="28" t="n">
        <v>413</v>
      </c>
      <c r="J27" s="29" t="n">
        <v>-1</v>
      </c>
      <c r="K27" s="30" t="n">
        <v>-0.00227790432801822</v>
      </c>
    </row>
    <row r="28" customFormat="false" ht="18" hidden="false" customHeight="true" outlineLevel="0" collapsed="false">
      <c r="A28" s="31" t="s">
        <v>67</v>
      </c>
      <c r="B28" s="32" t="n">
        <v>2024</v>
      </c>
      <c r="C28" s="31" t="s">
        <v>39</v>
      </c>
      <c r="D28" s="33" t="n">
        <v>18.38</v>
      </c>
      <c r="E28" s="33" t="n">
        <v>44.57</v>
      </c>
      <c r="F28" s="33" t="n">
        <v>15.89</v>
      </c>
      <c r="G28" s="34" t="n">
        <v>534</v>
      </c>
      <c r="H28" s="34" t="n">
        <v>516</v>
      </c>
      <c r="I28" s="34" t="n">
        <v>429</v>
      </c>
      <c r="J28" s="35" t="n">
        <v>-18</v>
      </c>
      <c r="K28" s="36" t="n">
        <v>-0.0337078651685393</v>
      </c>
    </row>
    <row r="29" customFormat="false" ht="18" hidden="false" customHeight="true" outlineLevel="0" collapsed="false">
      <c r="A29" s="11" t="s">
        <v>68</v>
      </c>
      <c r="B29" s="26" t="n">
        <v>2024</v>
      </c>
      <c r="C29" s="11" t="s">
        <v>42</v>
      </c>
      <c r="D29" s="27" t="n">
        <v>24.14</v>
      </c>
      <c r="E29" s="27" t="n">
        <v>35.01</v>
      </c>
      <c r="F29" s="27" t="n">
        <v>17.34</v>
      </c>
      <c r="G29" s="28" t="n">
        <v>535</v>
      </c>
      <c r="H29" s="28" t="n">
        <v>543</v>
      </c>
      <c r="I29" s="28" t="n">
        <v>471</v>
      </c>
      <c r="J29" s="29" t="n">
        <v>8</v>
      </c>
      <c r="K29" s="30" t="n">
        <v>0.0149532710280374</v>
      </c>
    </row>
    <row r="30" customFormat="false" ht="18" hidden="false" customHeight="true" outlineLevel="0" collapsed="false">
      <c r="A30" s="31" t="s">
        <v>69</v>
      </c>
      <c r="B30" s="32" t="n">
        <v>2024</v>
      </c>
      <c r="C30" s="31" t="s">
        <v>42</v>
      </c>
      <c r="D30" s="33" t="n">
        <v>30.75</v>
      </c>
      <c r="E30" s="33" t="n">
        <v>26.75</v>
      </c>
      <c r="F30" s="33" t="n">
        <v>16.04</v>
      </c>
      <c r="G30" s="34" t="n">
        <v>553</v>
      </c>
      <c r="H30" s="34" t="n">
        <v>539</v>
      </c>
      <c r="I30" s="34" t="n">
        <v>480</v>
      </c>
      <c r="J30" s="35" t="n">
        <v>-14</v>
      </c>
      <c r="K30" s="36" t="n">
        <v>-0.0253164556962025</v>
      </c>
    </row>
    <row r="31" customFormat="false" ht="18" hidden="false" customHeight="true" outlineLevel="0" collapsed="false">
      <c r="A31" s="11" t="s">
        <v>70</v>
      </c>
      <c r="B31" s="26" t="n">
        <v>2024</v>
      </c>
      <c r="C31" s="11" t="s">
        <v>42</v>
      </c>
      <c r="D31" s="27" t="n">
        <v>35.04</v>
      </c>
      <c r="E31" s="27" t="n">
        <v>27.76</v>
      </c>
      <c r="F31" s="27" t="n">
        <v>14.96</v>
      </c>
      <c r="G31" s="28" t="n">
        <v>447</v>
      </c>
      <c r="H31" s="28" t="n">
        <v>449</v>
      </c>
      <c r="I31" s="28" t="n">
        <v>467</v>
      </c>
      <c r="J31" s="29" t="n">
        <v>2</v>
      </c>
      <c r="K31" s="30" t="n">
        <v>0.00447427293064877</v>
      </c>
    </row>
    <row r="32" customFormat="false" ht="18" hidden="false" customHeight="true" outlineLevel="0" collapsed="false">
      <c r="A32" s="31" t="s">
        <v>71</v>
      </c>
      <c r="B32" s="32" t="n">
        <v>2024</v>
      </c>
      <c r="C32" s="31" t="s">
        <v>42</v>
      </c>
      <c r="D32" s="33" t="n">
        <v>35.24</v>
      </c>
      <c r="E32" s="33" t="n">
        <v>42.25</v>
      </c>
      <c r="F32" s="33" t="n">
        <v>11.12</v>
      </c>
      <c r="G32" s="34" t="n">
        <v>421</v>
      </c>
      <c r="H32" s="34" t="n">
        <v>426</v>
      </c>
      <c r="I32" s="34" t="n">
        <v>404</v>
      </c>
      <c r="J32" s="35" t="n">
        <v>5</v>
      </c>
      <c r="K32" s="36" t="n">
        <v>0.0118764845605701</v>
      </c>
    </row>
    <row r="33" customFormat="false" ht="18" hidden="false" customHeight="true" outlineLevel="0" collapsed="false">
      <c r="A33" s="11" t="s">
        <v>72</v>
      </c>
      <c r="B33" s="26" t="n">
        <v>2024</v>
      </c>
      <c r="C33" s="11" t="s">
        <v>47</v>
      </c>
      <c r="D33" s="27" t="n">
        <v>30.87</v>
      </c>
      <c r="E33" s="27" t="n">
        <v>74.65</v>
      </c>
      <c r="F33" s="27" t="n">
        <v>7.64</v>
      </c>
      <c r="G33" s="28" t="n">
        <v>403</v>
      </c>
      <c r="H33" s="28" t="n">
        <v>379</v>
      </c>
      <c r="I33" s="28" t="n">
        <v>311</v>
      </c>
      <c r="J33" s="29" t="n">
        <v>-24</v>
      </c>
      <c r="K33" s="30" t="n">
        <v>-0.0595533498759305</v>
      </c>
    </row>
    <row r="34" customFormat="false" ht="18" hidden="false" customHeight="true" outlineLevel="0" collapsed="false">
      <c r="A34" s="31" t="s">
        <v>73</v>
      </c>
      <c r="B34" s="32" t="n">
        <v>2024</v>
      </c>
      <c r="C34" s="31" t="s">
        <v>47</v>
      </c>
      <c r="D34" s="33" t="n">
        <v>28.28</v>
      </c>
      <c r="E34" s="33" t="n">
        <v>84.46</v>
      </c>
      <c r="F34" s="33" t="n">
        <v>6.41</v>
      </c>
      <c r="G34" s="34" t="n">
        <v>357</v>
      </c>
      <c r="H34" s="34" t="n">
        <v>352</v>
      </c>
      <c r="I34" s="34" t="n">
        <v>275</v>
      </c>
      <c r="J34" s="35" t="n">
        <v>-5</v>
      </c>
      <c r="K34" s="36" t="n">
        <v>-0.0140056022408964</v>
      </c>
    </row>
    <row r="35" customFormat="false" ht="18" hidden="false" customHeight="true" outlineLevel="0" collapsed="false">
      <c r="A35" s="11" t="s">
        <v>74</v>
      </c>
      <c r="B35" s="26" t="n">
        <v>2024</v>
      </c>
      <c r="C35" s="11" t="s">
        <v>47</v>
      </c>
      <c r="D35" s="27" t="n">
        <v>27.61</v>
      </c>
      <c r="E35" s="27" t="n">
        <v>84.63</v>
      </c>
      <c r="F35" s="27" t="n">
        <v>6.62</v>
      </c>
      <c r="G35" s="28" t="n">
        <v>297</v>
      </c>
      <c r="H35" s="28" t="n">
        <v>320</v>
      </c>
      <c r="I35" s="28" t="n">
        <v>272</v>
      </c>
      <c r="J35" s="29" t="n">
        <v>23</v>
      </c>
      <c r="K35" s="30" t="n">
        <v>0.0774410774410774</v>
      </c>
    </row>
    <row r="36" customFormat="false" ht="18" hidden="false" customHeight="true" outlineLevel="0" collapsed="false">
      <c r="A36" s="31" t="s">
        <v>75</v>
      </c>
      <c r="B36" s="32" t="n">
        <v>2024</v>
      </c>
      <c r="C36" s="31" t="s">
        <v>51</v>
      </c>
      <c r="D36" s="33" t="n">
        <v>26.03</v>
      </c>
      <c r="E36" s="33" t="n">
        <v>71.9</v>
      </c>
      <c r="F36" s="33" t="n">
        <v>11.07</v>
      </c>
      <c r="G36" s="34" t="n">
        <v>322</v>
      </c>
      <c r="H36" s="34" t="n">
        <v>341</v>
      </c>
      <c r="I36" s="34" t="n">
        <v>339</v>
      </c>
      <c r="J36" s="35" t="n">
        <v>19</v>
      </c>
      <c r="K36" s="36" t="n">
        <v>0.0590062111801242</v>
      </c>
    </row>
    <row r="37" customFormat="false" ht="18" hidden="false" customHeight="true" outlineLevel="0" collapsed="false">
      <c r="A37" s="11" t="s">
        <v>76</v>
      </c>
      <c r="B37" s="26" t="n">
        <v>2024</v>
      </c>
      <c r="C37" s="11" t="s">
        <v>51</v>
      </c>
      <c r="D37" s="27" t="n">
        <v>21.27</v>
      </c>
      <c r="E37" s="27" t="n">
        <v>58.41</v>
      </c>
      <c r="F37" s="27" t="n">
        <v>13.14</v>
      </c>
      <c r="G37" s="28" t="n">
        <v>455</v>
      </c>
      <c r="H37" s="28" t="n">
        <v>410</v>
      </c>
      <c r="I37" s="28" t="n">
        <v>381</v>
      </c>
      <c r="J37" s="29" t="n">
        <v>-45</v>
      </c>
      <c r="K37" s="30" t="n">
        <v>-0.0989010989010989</v>
      </c>
    </row>
    <row r="38" customFormat="false" ht="18" hidden="false" customHeight="true" outlineLevel="0" collapsed="false">
      <c r="A38" s="31" t="s">
        <v>77</v>
      </c>
      <c r="B38" s="32" t="n">
        <v>2024</v>
      </c>
      <c r="C38" s="31" t="s">
        <v>39</v>
      </c>
      <c r="D38" s="33" t="n">
        <v>17.06</v>
      </c>
      <c r="E38" s="33" t="n">
        <v>55.78</v>
      </c>
      <c r="F38" s="33" t="n">
        <v>13.88</v>
      </c>
      <c r="G38" s="34" t="n">
        <v>340</v>
      </c>
      <c r="H38" s="34" t="n">
        <v>357</v>
      </c>
      <c r="I38" s="34" t="n">
        <v>348</v>
      </c>
      <c r="J38" s="35" t="n">
        <v>17</v>
      </c>
      <c r="K38" s="36" t="n">
        <v>0.05</v>
      </c>
    </row>
    <row r="39" customFormat="false" ht="18" hidden="false" customHeight="true" outlineLevel="0" collapsed="false">
      <c r="A39" s="11" t="s">
        <v>78</v>
      </c>
      <c r="B39" s="26" t="n">
        <v>2025</v>
      </c>
      <c r="C39" s="11" t="s">
        <v>39</v>
      </c>
      <c r="D39" s="27" t="n">
        <v>15.93</v>
      </c>
      <c r="E39" s="27" t="n">
        <v>51.33</v>
      </c>
      <c r="F39" s="27" t="n">
        <v>15.73</v>
      </c>
      <c r="G39" s="28" t="n">
        <v>476</v>
      </c>
      <c r="H39" s="28" t="n">
        <v>472</v>
      </c>
      <c r="I39" s="28" t="n">
        <v>472</v>
      </c>
      <c r="J39" s="29" t="n">
        <v>-4</v>
      </c>
      <c r="K39" s="30" t="n">
        <v>-0.00840336134453782</v>
      </c>
    </row>
    <row r="40" customFormat="false" ht="18" hidden="false" customHeight="true" outlineLevel="0" collapsed="false">
      <c r="A40" s="31" t="s">
        <v>79</v>
      </c>
      <c r="B40" s="32" t="n">
        <v>2025</v>
      </c>
      <c r="C40" s="31" t="s">
        <v>39</v>
      </c>
      <c r="D40" s="33" t="n">
        <v>19.66</v>
      </c>
      <c r="E40" s="33" t="n">
        <v>39.61</v>
      </c>
      <c r="F40" s="33" t="n">
        <v>16.33</v>
      </c>
      <c r="G40" s="34" t="n">
        <v>546</v>
      </c>
      <c r="H40" s="34" t="n">
        <v>550</v>
      </c>
      <c r="I40" s="34" t="n">
        <v>501</v>
      </c>
      <c r="J40" s="35" t="n">
        <v>4</v>
      </c>
      <c r="K40" s="36" t="n">
        <v>0.00732600732600733</v>
      </c>
    </row>
    <row r="41" customFormat="false" ht="18" hidden="false" customHeight="true" outlineLevel="0" collapsed="false">
      <c r="A41" s="11" t="s">
        <v>80</v>
      </c>
      <c r="B41" s="26" t="n">
        <v>2025</v>
      </c>
      <c r="C41" s="11" t="s">
        <v>42</v>
      </c>
      <c r="D41" s="27" t="n">
        <v>24.89</v>
      </c>
      <c r="E41" s="27" t="n">
        <v>29.55</v>
      </c>
      <c r="F41" s="27" t="n">
        <v>18.37</v>
      </c>
      <c r="G41" s="28" t="n">
        <v>598</v>
      </c>
      <c r="H41" s="28" t="n">
        <v>584</v>
      </c>
      <c r="I41" s="28" t="n">
        <v>548</v>
      </c>
      <c r="J41" s="29" t="n">
        <v>-14</v>
      </c>
      <c r="K41" s="30" t="n">
        <v>-0.0234113712374582</v>
      </c>
    </row>
    <row r="42" customFormat="false" ht="18" hidden="false" customHeight="true" outlineLevel="0" collapsed="false">
      <c r="A42" s="31" t="s">
        <v>81</v>
      </c>
      <c r="B42" s="32" t="n">
        <v>2025</v>
      </c>
      <c r="C42" s="31" t="s">
        <v>42</v>
      </c>
      <c r="D42" s="33" t="n">
        <v>31.3</v>
      </c>
      <c r="E42" s="33" t="n">
        <v>25.43</v>
      </c>
      <c r="F42" s="33" t="n">
        <v>17.38</v>
      </c>
      <c r="G42" s="34" t="n">
        <v>589</v>
      </c>
      <c r="H42" s="34" t="n">
        <v>580</v>
      </c>
      <c r="I42" s="34" t="n">
        <v>548</v>
      </c>
      <c r="J42" s="35" t="n">
        <v>-9</v>
      </c>
      <c r="K42" s="36" t="n">
        <v>-0.0152801358234295</v>
      </c>
    </row>
    <row r="43" customFormat="false" ht="18" hidden="false" customHeight="true" outlineLevel="0" collapsed="false">
      <c r="A43" s="11" t="s">
        <v>82</v>
      </c>
      <c r="B43" s="26" t="n">
        <v>2025</v>
      </c>
      <c r="C43" s="11" t="s">
        <v>42</v>
      </c>
      <c r="D43" s="27" t="n">
        <v>32.08</v>
      </c>
      <c r="E43" s="27" t="n">
        <v>44.96</v>
      </c>
      <c r="F43" s="27" t="n">
        <v>12.35</v>
      </c>
      <c r="G43" s="28" t="n">
        <v>496</v>
      </c>
      <c r="H43" s="28" t="n">
        <v>468</v>
      </c>
      <c r="I43" s="28" t="n">
        <v>465</v>
      </c>
      <c r="J43" s="29" t="n">
        <v>-28</v>
      </c>
      <c r="K43" s="30" t="n">
        <v>-0.0564516129032258</v>
      </c>
    </row>
    <row r="44" customFormat="false" ht="18" hidden="false" customHeight="true" outlineLevel="0" collapsed="false">
      <c r="A44" s="31" t="s">
        <v>83</v>
      </c>
      <c r="B44" s="32" t="n">
        <v>2025</v>
      </c>
      <c r="C44" s="31" t="s">
        <v>42</v>
      </c>
      <c r="D44" s="33" t="n">
        <v>32.6</v>
      </c>
      <c r="E44" s="33" t="n">
        <v>54.2</v>
      </c>
      <c r="F44" s="33" t="n">
        <v>10.2</v>
      </c>
      <c r="G44" s="34" t="n">
        <v>350</v>
      </c>
      <c r="H44" s="34" t="n">
        <v>373</v>
      </c>
      <c r="I44" s="34" t="n">
        <v>425</v>
      </c>
      <c r="J44" s="35" t="n">
        <v>23</v>
      </c>
      <c r="K44" s="36" t="n">
        <v>0.0657142857142857</v>
      </c>
    </row>
    <row r="45" customFormat="false" ht="18" hidden="false" customHeight="true" outlineLevel="0" collapsed="false">
      <c r="A45" s="11" t="s">
        <v>84</v>
      </c>
      <c r="B45" s="26" t="n">
        <v>2025</v>
      </c>
      <c r="C45" s="11" t="s">
        <v>47</v>
      </c>
      <c r="D45" s="27" t="n">
        <v>29.2</v>
      </c>
      <c r="E45" s="27" t="n">
        <v>78.41</v>
      </c>
      <c r="F45" s="27" t="n">
        <v>6.66</v>
      </c>
      <c r="G45" s="28" t="n">
        <v>390</v>
      </c>
      <c r="H45" s="28" t="n">
        <v>380</v>
      </c>
      <c r="I45" s="28" t="n">
        <v>353</v>
      </c>
      <c r="J45" s="29" t="n">
        <v>-10</v>
      </c>
      <c r="K45" s="30" t="n">
        <v>-0.0256410256410256</v>
      </c>
    </row>
    <row r="46" customFormat="false" ht="18" hidden="false" customHeight="true" outlineLevel="0" collapsed="false">
      <c r="A46" s="31" t="s">
        <v>85</v>
      </c>
      <c r="B46" s="32" t="n">
        <v>2025</v>
      </c>
      <c r="C46" s="31" t="s">
        <v>47</v>
      </c>
      <c r="D46" s="33" t="n">
        <v>28.09</v>
      </c>
      <c r="E46" s="33" t="n">
        <v>84.41</v>
      </c>
      <c r="F46" s="33" t="n">
        <v>6.24</v>
      </c>
      <c r="G46" s="34" t="n">
        <v>359</v>
      </c>
      <c r="H46" s="34" t="n">
        <v>359</v>
      </c>
      <c r="I46" s="34" t="n">
        <v>331</v>
      </c>
      <c r="J46" s="35" t="n">
        <v>0</v>
      </c>
      <c r="K46" s="36" t="n">
        <v>0</v>
      </c>
    </row>
    <row r="47" customFormat="false" ht="18" hidden="false" customHeight="true" outlineLevel="0" collapsed="false">
      <c r="A47" s="11" t="s">
        <v>86</v>
      </c>
      <c r="B47" s="26" t="n">
        <v>2025</v>
      </c>
      <c r="C47" s="11" t="s">
        <v>47</v>
      </c>
      <c r="D47" s="27" t="n">
        <v>26.99</v>
      </c>
      <c r="E47" s="27" t="n">
        <v>83.12</v>
      </c>
      <c r="F47" s="27" t="n">
        <v>7.64</v>
      </c>
      <c r="G47" s="28" t="n">
        <v>377</v>
      </c>
      <c r="H47" s="28" t="n">
        <v>361</v>
      </c>
      <c r="I47" s="28" t="n">
        <v>339</v>
      </c>
      <c r="J47" s="29" t="n">
        <v>-16</v>
      </c>
      <c r="K47" s="30" t="n">
        <v>-0.0424403183023873</v>
      </c>
    </row>
    <row r="48" customFormat="false" ht="18" hidden="false" customHeight="true" outlineLevel="0" collapsed="false">
      <c r="A48" s="31" t="s">
        <v>87</v>
      </c>
      <c r="B48" s="32" t="n">
        <v>2025</v>
      </c>
      <c r="C48" s="31" t="s">
        <v>51</v>
      </c>
      <c r="D48" s="33" t="n">
        <v>24.32</v>
      </c>
      <c r="E48" s="33" t="n">
        <v>73.41</v>
      </c>
      <c r="F48" s="33" t="n">
        <v>9.41</v>
      </c>
      <c r="G48" s="34" t="n">
        <v>322</v>
      </c>
      <c r="H48" s="34" t="n">
        <v>335</v>
      </c>
      <c r="I48" s="34" t="n">
        <v>383</v>
      </c>
      <c r="J48" s="35" t="n">
        <v>13</v>
      </c>
      <c r="K48" s="36" t="n">
        <v>0.0403726708074534</v>
      </c>
    </row>
    <row r="49" customFormat="false" ht="18" hidden="false" customHeight="true" outlineLevel="0" collapsed="false">
      <c r="A49" s="11" t="s">
        <v>88</v>
      </c>
      <c r="B49" s="26" t="n">
        <v>2025</v>
      </c>
      <c r="C49" s="11" t="s">
        <v>51</v>
      </c>
      <c r="D49" s="27" t="n">
        <v>19.51</v>
      </c>
      <c r="E49" s="27" t="n">
        <v>60.41</v>
      </c>
      <c r="F49" s="27" t="n">
        <v>13.56</v>
      </c>
      <c r="G49" s="28" t="n">
        <v>345</v>
      </c>
      <c r="H49" s="28" t="n">
        <v>349</v>
      </c>
      <c r="I49" s="28" t="n">
        <v>436</v>
      </c>
      <c r="J49" s="29" t="n">
        <v>4</v>
      </c>
      <c r="K49" s="30" t="n">
        <v>0.0115942028985507</v>
      </c>
    </row>
    <row r="50" customFormat="false" ht="18" hidden="false" customHeight="true" outlineLevel="0" collapsed="false">
      <c r="A50" s="31" t="s">
        <v>89</v>
      </c>
      <c r="B50" s="32" t="n">
        <v>2025</v>
      </c>
      <c r="C50" s="31" t="s">
        <v>39</v>
      </c>
      <c r="D50" s="33" t="n">
        <v>16.96</v>
      </c>
      <c r="E50" s="33" t="n">
        <v>55.47</v>
      </c>
      <c r="F50" s="33" t="n">
        <v>14.79</v>
      </c>
      <c r="G50" s="34" t="n">
        <v>310</v>
      </c>
      <c r="H50" s="34" t="n">
        <v>337</v>
      </c>
      <c r="I50" s="34" t="n">
        <v>411</v>
      </c>
      <c r="J50" s="35" t="n">
        <v>27</v>
      </c>
      <c r="K50" s="36" t="n">
        <v>0.0870967741935484</v>
      </c>
    </row>
    <row r="51" customFormat="false" ht="18" hidden="false" customHeight="true" outlineLevel="0" collapsed="false">
      <c r="A51" s="11" t="s">
        <v>90</v>
      </c>
      <c r="B51" s="26" t="n">
        <v>2026</v>
      </c>
      <c r="C51" s="11" t="s">
        <v>39</v>
      </c>
      <c r="D51" s="27" t="n">
        <v>15.83</v>
      </c>
      <c r="E51" s="27" t="n">
        <v>56.29</v>
      </c>
      <c r="F51" s="27" t="n">
        <v>14.62</v>
      </c>
      <c r="G51" s="28" t="n">
        <v>399</v>
      </c>
      <c r="H51" s="28" t="n">
        <v>408</v>
      </c>
      <c r="I51" s="28" t="n">
        <v>510</v>
      </c>
      <c r="J51" s="29" t="n">
        <v>9</v>
      </c>
      <c r="K51" s="30" t="n">
        <v>0.0225563909774436</v>
      </c>
    </row>
    <row r="52" customFormat="false" ht="18" hidden="false" customHeight="true" outlineLevel="0" collapsed="false">
      <c r="A52" s="31" t="s">
        <v>91</v>
      </c>
      <c r="B52" s="32" t="n">
        <v>2026</v>
      </c>
      <c r="C52" s="31" t="s">
        <v>39</v>
      </c>
      <c r="D52" s="33" t="n">
        <v>20.31</v>
      </c>
      <c r="E52" s="33" t="n">
        <v>45.55</v>
      </c>
      <c r="F52" s="33" t="n">
        <v>16.07</v>
      </c>
      <c r="G52" s="34" t="n">
        <v>499</v>
      </c>
      <c r="H52" s="34" t="n">
        <v>526</v>
      </c>
      <c r="I52" s="34" t="n">
        <v>542</v>
      </c>
      <c r="J52" s="35" t="n">
        <v>27</v>
      </c>
      <c r="K52" s="36" t="n">
        <v>0.0541082164328657</v>
      </c>
    </row>
    <row r="53" customFormat="false" ht="18" hidden="false" customHeight="true" outlineLevel="0" collapsed="false">
      <c r="A53" s="11" t="s">
        <v>92</v>
      </c>
      <c r="B53" s="26" t="n">
        <v>2026</v>
      </c>
      <c r="C53" s="11" t="s">
        <v>42</v>
      </c>
      <c r="D53" s="27" t="n">
        <v>25.5</v>
      </c>
      <c r="E53" s="27" t="n">
        <v>41.76</v>
      </c>
      <c r="F53" s="27" t="n">
        <v>16.26</v>
      </c>
      <c r="G53" s="28" t="n">
        <v>601</v>
      </c>
      <c r="H53" s="28" t="n">
        <v>578</v>
      </c>
      <c r="I53" s="28" t="n">
        <v>562</v>
      </c>
      <c r="J53" s="29" t="n">
        <v>-23</v>
      </c>
      <c r="K53" s="30" t="n">
        <v>-0.0382695507487521</v>
      </c>
    </row>
    <row r="54" customFormat="false" ht="18" hidden="false" customHeight="true" outlineLevel="0" collapsed="false">
      <c r="A54" s="31" t="s">
        <v>93</v>
      </c>
      <c r="B54" s="32" t="n">
        <v>2026</v>
      </c>
      <c r="C54" s="31" t="s">
        <v>42</v>
      </c>
      <c r="D54" s="33" t="n">
        <v>31.53</v>
      </c>
      <c r="E54" s="33" t="n">
        <v>31.1</v>
      </c>
      <c r="F54" s="33" t="n">
        <v>14.76</v>
      </c>
      <c r="G54" s="34" t="n">
        <v>457</v>
      </c>
      <c r="H54" s="34" t="n">
        <v>460</v>
      </c>
      <c r="I54" s="34" t="n">
        <v>576</v>
      </c>
      <c r="J54" s="35" t="n">
        <v>3</v>
      </c>
      <c r="K54" s="36" t="n">
        <v>0.00656455142231948</v>
      </c>
    </row>
    <row r="55" customFormat="false" ht="21.75" hidden="false" customHeight="true" outlineLevel="0" collapsed="false">
      <c r="A55" s="37" t="s">
        <v>94</v>
      </c>
      <c r="B55" s="37"/>
      <c r="C55" s="37"/>
      <c r="D55" s="37"/>
      <c r="E55" s="37"/>
      <c r="F55" s="37"/>
      <c r="G55" s="38" t="n">
        <f aca="false">SUM(G3:G54)</f>
        <v>18804</v>
      </c>
      <c r="H55" s="38" t="n">
        <f aca="false">SUM(H3:H54)</f>
        <v>18943</v>
      </c>
      <c r="I55" s="38" t="n">
        <f aca="false">SUM(I3:I54)</f>
        <v>18810</v>
      </c>
      <c r="J55" s="37"/>
      <c r="K55" s="37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4"/>
  </cols>
  <sheetData>
    <row r="1" customFormat="false" ht="36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" t="s">
        <v>28</v>
      </c>
      <c r="B3" s="4" t="s">
        <v>15</v>
      </c>
      <c r="C3" s="4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</row>
    <row r="4" customFormat="false" ht="19.5" hidden="false" customHeight="true" outlineLevel="0" collapsed="false">
      <c r="A4" s="5" t="s">
        <v>90</v>
      </c>
      <c r="B4" s="5" t="s">
        <v>39</v>
      </c>
      <c r="C4" s="39" t="n">
        <v>56.29</v>
      </c>
      <c r="D4" s="39" t="n">
        <v>14.62</v>
      </c>
      <c r="E4" s="40" t="n">
        <v>399</v>
      </c>
      <c r="F4" s="40" t="n">
        <v>510</v>
      </c>
      <c r="G4" s="40" t="n">
        <v>399</v>
      </c>
      <c r="H4" s="5" t="s">
        <v>103</v>
      </c>
    </row>
    <row r="5" customFormat="false" ht="19.5" hidden="false" customHeight="true" outlineLevel="0" collapsed="false">
      <c r="A5" s="5" t="s">
        <v>91</v>
      </c>
      <c r="B5" s="5" t="s">
        <v>39</v>
      </c>
      <c r="C5" s="39" t="n">
        <v>45.55</v>
      </c>
      <c r="D5" s="39" t="n">
        <v>16.07</v>
      </c>
      <c r="E5" s="40" t="n">
        <v>499</v>
      </c>
      <c r="F5" s="40" t="n">
        <v>542</v>
      </c>
      <c r="G5" s="40" t="n">
        <v>499</v>
      </c>
      <c r="H5" s="5" t="s">
        <v>103</v>
      </c>
    </row>
    <row r="6" customFormat="false" ht="19.5" hidden="false" customHeight="true" outlineLevel="0" collapsed="false">
      <c r="A6" s="5" t="s">
        <v>92</v>
      </c>
      <c r="B6" s="5" t="s">
        <v>42</v>
      </c>
      <c r="C6" s="39" t="n">
        <v>41.76</v>
      </c>
      <c r="D6" s="39" t="n">
        <v>16.26</v>
      </c>
      <c r="E6" s="40" t="n">
        <v>601</v>
      </c>
      <c r="F6" s="40" t="n">
        <v>562</v>
      </c>
      <c r="G6" s="40" t="n">
        <v>601</v>
      </c>
      <c r="H6" s="5" t="s">
        <v>103</v>
      </c>
    </row>
    <row r="7" customFormat="false" ht="19.5" hidden="false" customHeight="true" outlineLevel="0" collapsed="false">
      <c r="A7" s="5" t="s">
        <v>93</v>
      </c>
      <c r="B7" s="5" t="s">
        <v>42</v>
      </c>
      <c r="C7" s="39" t="n">
        <v>31.1</v>
      </c>
      <c r="D7" s="39" t="n">
        <v>14.76</v>
      </c>
      <c r="E7" s="40" t="n">
        <v>457</v>
      </c>
      <c r="F7" s="40" t="n">
        <v>576</v>
      </c>
      <c r="G7" s="40" t="n">
        <v>457</v>
      </c>
      <c r="H7" s="5" t="s">
        <v>103</v>
      </c>
    </row>
    <row r="8" customFormat="false" ht="19.5" hidden="false" customHeight="true" outlineLevel="0" collapsed="false">
      <c r="A8" s="41" t="s">
        <v>104</v>
      </c>
      <c r="B8" s="41" t="s">
        <v>42</v>
      </c>
      <c r="C8" s="42" t="n">
        <v>38.95</v>
      </c>
      <c r="D8" s="42" t="n">
        <v>13.45</v>
      </c>
      <c r="E8" s="43" t="n">
        <v>455</v>
      </c>
      <c r="F8" s="43" t="n">
        <v>544</v>
      </c>
      <c r="G8" s="43" t="n">
        <v>499</v>
      </c>
      <c r="H8" s="41" t="s">
        <v>105</v>
      </c>
    </row>
    <row r="9" customFormat="false" ht="19.5" hidden="false" customHeight="true" outlineLevel="0" collapsed="false">
      <c r="A9" s="41" t="s">
        <v>106</v>
      </c>
      <c r="B9" s="41" t="s">
        <v>42</v>
      </c>
      <c r="C9" s="42" t="n">
        <v>48.52</v>
      </c>
      <c r="D9" s="42" t="n">
        <v>10.72</v>
      </c>
      <c r="E9" s="43" t="n">
        <v>428</v>
      </c>
      <c r="F9" s="43" t="n">
        <v>500</v>
      </c>
      <c r="G9" s="43" t="n">
        <v>464</v>
      </c>
      <c r="H9" s="41" t="s">
        <v>105</v>
      </c>
    </row>
    <row r="10" customFormat="false" ht="19.5" hidden="false" customHeight="true" outlineLevel="0" collapsed="false">
      <c r="A10" s="41" t="s">
        <v>107</v>
      </c>
      <c r="B10" s="41" t="s">
        <v>47</v>
      </c>
      <c r="C10" s="42" t="n">
        <v>76.83</v>
      </c>
      <c r="D10" s="42" t="n">
        <v>6.97</v>
      </c>
      <c r="E10" s="43" t="n">
        <v>377</v>
      </c>
      <c r="F10" s="43" t="n">
        <v>416</v>
      </c>
      <c r="G10" s="43" t="n">
        <v>396</v>
      </c>
      <c r="H10" s="41" t="s">
        <v>105</v>
      </c>
    </row>
    <row r="11" customFormat="false" ht="19.5" hidden="false" customHeight="true" outlineLevel="0" collapsed="false">
      <c r="A11" s="41" t="s">
        <v>108</v>
      </c>
      <c r="B11" s="41" t="s">
        <v>47</v>
      </c>
      <c r="C11" s="42" t="n">
        <v>81.93</v>
      </c>
      <c r="D11" s="42" t="n">
        <v>6.74</v>
      </c>
      <c r="E11" s="43" t="n">
        <v>359</v>
      </c>
      <c r="F11" s="43" t="n">
        <v>397</v>
      </c>
      <c r="G11" s="43" t="n">
        <v>378</v>
      </c>
      <c r="H11" s="41" t="s">
        <v>105</v>
      </c>
    </row>
    <row r="12" customFormat="false" ht="19.5" hidden="false" customHeight="true" outlineLevel="0" collapsed="false">
      <c r="A12" s="41" t="s">
        <v>109</v>
      </c>
      <c r="B12" s="41" t="s">
        <v>47</v>
      </c>
      <c r="C12" s="42" t="n">
        <v>81.71</v>
      </c>
      <c r="D12" s="42" t="n">
        <v>7.37</v>
      </c>
      <c r="E12" s="43" t="n">
        <v>353</v>
      </c>
      <c r="F12" s="43" t="n">
        <v>398</v>
      </c>
      <c r="G12" s="43" t="n">
        <v>375</v>
      </c>
      <c r="H12" s="41" t="s">
        <v>105</v>
      </c>
    </row>
    <row r="13" customFormat="false" ht="19.5" hidden="false" customHeight="true" outlineLevel="0" collapsed="false">
      <c r="A13" s="41" t="s">
        <v>110</v>
      </c>
      <c r="B13" s="41" t="s">
        <v>51</v>
      </c>
      <c r="C13" s="42" t="n">
        <v>71.06</v>
      </c>
      <c r="D13" s="42" t="n">
        <v>10.77</v>
      </c>
      <c r="E13" s="43" t="n">
        <v>335</v>
      </c>
      <c r="F13" s="43" t="n">
        <v>454</v>
      </c>
      <c r="G13" s="43" t="n">
        <v>394</v>
      </c>
      <c r="H13" s="41" t="s">
        <v>105</v>
      </c>
    </row>
    <row r="14" customFormat="false" ht="19.5" hidden="false" customHeight="true" outlineLevel="0" collapsed="false">
      <c r="A14" s="41" t="s">
        <v>111</v>
      </c>
      <c r="B14" s="41" t="s">
        <v>51</v>
      </c>
      <c r="C14" s="42" t="n">
        <v>61.89</v>
      </c>
      <c r="D14" s="42" t="n">
        <v>12.81</v>
      </c>
      <c r="E14" s="43" t="n">
        <v>347</v>
      </c>
      <c r="F14" s="43" t="n">
        <v>485</v>
      </c>
      <c r="G14" s="43" t="n">
        <v>416</v>
      </c>
      <c r="H14" s="41" t="s">
        <v>105</v>
      </c>
    </row>
    <row r="15" customFormat="false" ht="19.5" hidden="false" customHeight="true" outlineLevel="0" collapsed="false">
      <c r="A15" s="41" t="s">
        <v>112</v>
      </c>
      <c r="B15" s="41" t="s">
        <v>39</v>
      </c>
      <c r="C15" s="42" t="n">
        <v>56.58</v>
      </c>
      <c r="D15" s="42" t="n">
        <v>14.13</v>
      </c>
      <c r="E15" s="43" t="n">
        <v>352</v>
      </c>
      <c r="F15" s="43" t="n">
        <v>461</v>
      </c>
      <c r="G15" s="43" t="n">
        <v>406</v>
      </c>
      <c r="H15" s="41" t="s">
        <v>105</v>
      </c>
    </row>
    <row r="16" customFormat="false" ht="21.75" hidden="false" customHeight="true" outlineLevel="0" collapsed="false">
      <c r="A16" s="37" t="s">
        <v>113</v>
      </c>
      <c r="B16" s="37"/>
      <c r="C16" s="37"/>
      <c r="D16" s="37"/>
      <c r="E16" s="38" t="n">
        <f aca="false">SUM(E4:E15)</f>
        <v>4962</v>
      </c>
      <c r="F16" s="38" t="n">
        <f aca="false">SUM(F4:F15)</f>
        <v>5845</v>
      </c>
      <c r="G16" s="38" t="n">
        <f aca="false">SUM(G4:G15)</f>
        <v>5284</v>
      </c>
      <c r="H16" s="37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9"/>
  </cols>
  <sheetData>
    <row r="1" customFormat="false" ht="36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4" t="s">
        <v>29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4" t="s">
        <v>125</v>
      </c>
      <c r="M2" s="4" t="s">
        <v>126</v>
      </c>
      <c r="N2" s="4" t="s">
        <v>127</v>
      </c>
    </row>
    <row r="3" customFormat="false" ht="21.75" hidden="false" customHeight="true" outlineLevel="0" collapsed="false">
      <c r="A3" s="19" t="n">
        <v>2022</v>
      </c>
      <c r="B3" s="28" t="n">
        <v>181</v>
      </c>
      <c r="C3" s="28" t="n">
        <v>239</v>
      </c>
      <c r="D3" s="28" t="n">
        <v>309</v>
      </c>
      <c r="E3" s="28" t="n">
        <v>285</v>
      </c>
      <c r="F3" s="28" t="n">
        <v>266</v>
      </c>
      <c r="G3" s="28" t="n">
        <v>198</v>
      </c>
      <c r="H3" s="28" t="n">
        <v>91</v>
      </c>
      <c r="I3" s="28" t="n">
        <v>141</v>
      </c>
      <c r="J3" s="28" t="n">
        <v>276</v>
      </c>
      <c r="K3" s="28" t="n">
        <v>214</v>
      </c>
      <c r="L3" s="28" t="n">
        <v>282</v>
      </c>
      <c r="M3" s="28" t="n">
        <v>278</v>
      </c>
      <c r="N3" s="44" t="n">
        <f aca="false">SUM(B3:M3)</f>
        <v>2760</v>
      </c>
    </row>
    <row r="4" customFormat="false" ht="21.75" hidden="false" customHeight="true" outlineLevel="0" collapsed="false">
      <c r="A4" s="16" t="n">
        <v>2023</v>
      </c>
      <c r="B4" s="34" t="n">
        <v>311</v>
      </c>
      <c r="C4" s="34" t="n">
        <v>384</v>
      </c>
      <c r="D4" s="34" t="n">
        <v>472</v>
      </c>
      <c r="E4" s="34" t="n">
        <v>402</v>
      </c>
      <c r="F4" s="34" t="n">
        <v>379</v>
      </c>
      <c r="G4" s="34" t="n">
        <v>354</v>
      </c>
      <c r="H4" s="34" t="n">
        <v>216</v>
      </c>
      <c r="I4" s="34" t="n">
        <v>273</v>
      </c>
      <c r="J4" s="34" t="n">
        <v>126</v>
      </c>
      <c r="K4" s="34" t="n">
        <v>267</v>
      </c>
      <c r="L4" s="34" t="n">
        <v>283</v>
      </c>
      <c r="M4" s="34" t="n">
        <v>360</v>
      </c>
      <c r="N4" s="45" t="n">
        <f aca="false">SUM(B4:M4)</f>
        <v>3827</v>
      </c>
    </row>
    <row r="5" customFormat="false" ht="21.75" hidden="false" customHeight="true" outlineLevel="0" collapsed="false">
      <c r="A5" s="19" t="n">
        <v>2024</v>
      </c>
      <c r="B5" s="28" t="n">
        <v>439</v>
      </c>
      <c r="C5" s="28" t="n">
        <v>534</v>
      </c>
      <c r="D5" s="28" t="n">
        <v>535</v>
      </c>
      <c r="E5" s="28" t="n">
        <v>553</v>
      </c>
      <c r="F5" s="28" t="n">
        <v>447</v>
      </c>
      <c r="G5" s="28" t="n">
        <v>421</v>
      </c>
      <c r="H5" s="28" t="n">
        <v>403</v>
      </c>
      <c r="I5" s="28" t="n">
        <v>357</v>
      </c>
      <c r="J5" s="28" t="n">
        <v>297</v>
      </c>
      <c r="K5" s="28" t="n">
        <v>322</v>
      </c>
      <c r="L5" s="28" t="n">
        <v>455</v>
      </c>
      <c r="M5" s="28" t="n">
        <v>340</v>
      </c>
      <c r="N5" s="44" t="n">
        <f aca="false">SUM(B5:M5)</f>
        <v>5103</v>
      </c>
    </row>
    <row r="6" customFormat="false" ht="21.75" hidden="false" customHeight="true" outlineLevel="0" collapsed="false">
      <c r="A6" s="16" t="n">
        <v>2025</v>
      </c>
      <c r="B6" s="34" t="n">
        <v>476</v>
      </c>
      <c r="C6" s="34" t="n">
        <v>546</v>
      </c>
      <c r="D6" s="34" t="n">
        <v>598</v>
      </c>
      <c r="E6" s="34" t="n">
        <v>589</v>
      </c>
      <c r="F6" s="34" t="n">
        <v>496</v>
      </c>
      <c r="G6" s="34" t="n">
        <v>350</v>
      </c>
      <c r="H6" s="34" t="n">
        <v>390</v>
      </c>
      <c r="I6" s="34" t="n">
        <v>359</v>
      </c>
      <c r="J6" s="34" t="n">
        <v>377</v>
      </c>
      <c r="K6" s="34" t="n">
        <v>322</v>
      </c>
      <c r="L6" s="34" t="n">
        <v>345</v>
      </c>
      <c r="M6" s="34" t="n">
        <v>310</v>
      </c>
      <c r="N6" s="45" t="n">
        <f aca="false">SUM(B6:M6)</f>
        <v>5158</v>
      </c>
    </row>
    <row r="7" customFormat="false" ht="21.75" hidden="false" customHeight="true" outlineLevel="0" collapsed="false">
      <c r="A7" s="19" t="n">
        <v>2026</v>
      </c>
      <c r="B7" s="28" t="n">
        <v>399</v>
      </c>
      <c r="C7" s="28" t="n">
        <v>499</v>
      </c>
      <c r="D7" s="28" t="n">
        <v>601</v>
      </c>
      <c r="E7" s="28" t="n">
        <v>457</v>
      </c>
      <c r="F7" s="46" t="s">
        <v>128</v>
      </c>
      <c r="G7" s="46" t="s">
        <v>128</v>
      </c>
      <c r="H7" s="46" t="s">
        <v>128</v>
      </c>
      <c r="I7" s="46" t="s">
        <v>128</v>
      </c>
      <c r="J7" s="46" t="s">
        <v>128</v>
      </c>
      <c r="K7" s="46" t="s">
        <v>128</v>
      </c>
      <c r="L7" s="46" t="s">
        <v>128</v>
      </c>
      <c r="M7" s="46" t="s">
        <v>128</v>
      </c>
      <c r="N7" s="44" t="n">
        <f aca="false">SUM(B7:M7)</f>
        <v>1956</v>
      </c>
    </row>
    <row r="8" customFormat="false" ht="21.75" hidden="false" customHeight="true" outlineLevel="0" collapsed="false">
      <c r="A8" s="47" t="s">
        <v>129</v>
      </c>
      <c r="B8" s="40" t="n">
        <v>399</v>
      </c>
      <c r="C8" s="40" t="n">
        <v>499</v>
      </c>
      <c r="D8" s="40" t="n">
        <v>601</v>
      </c>
      <c r="E8" s="40" t="n">
        <v>457</v>
      </c>
      <c r="F8" s="43" t="n">
        <v>455</v>
      </c>
      <c r="G8" s="43" t="n">
        <v>428</v>
      </c>
      <c r="H8" s="43" t="n">
        <v>377</v>
      </c>
      <c r="I8" s="43" t="n">
        <v>359</v>
      </c>
      <c r="J8" s="43" t="n">
        <v>353</v>
      </c>
      <c r="K8" s="43" t="n">
        <v>335</v>
      </c>
      <c r="L8" s="43" t="n">
        <v>347</v>
      </c>
      <c r="M8" s="43" t="n">
        <v>352</v>
      </c>
      <c r="N8" s="48" t="n">
        <f aca="false">SUM(B8:M8)</f>
        <v>4962</v>
      </c>
    </row>
    <row r="10" customFormat="false" ht="18" hidden="false" customHeight="true" outlineLevel="0" collapsed="false">
      <c r="A10" s="49" t="s">
        <v>130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</row>
  </sheetData>
  <mergeCells count="2">
    <mergeCell ref="A1:N1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36" hidden="false" customHeight="true" outlineLevel="0" collapsed="false">
      <c r="A1" s="1" t="s">
        <v>131</v>
      </c>
      <c r="B1" s="1"/>
      <c r="C1" s="1"/>
      <c r="D1" s="1"/>
    </row>
    <row r="2" customFormat="false" ht="24" hidden="false" customHeight="true" outlineLevel="0" collapsed="false">
      <c r="A2" s="4" t="s">
        <v>28</v>
      </c>
      <c r="B2" s="4" t="s">
        <v>103</v>
      </c>
      <c r="C2" s="4" t="s">
        <v>34</v>
      </c>
      <c r="D2" s="4" t="s">
        <v>35</v>
      </c>
    </row>
    <row r="3" customFormat="false" ht="15.75" hidden="false" customHeight="true" outlineLevel="0" collapsed="false">
      <c r="A3" s="11" t="s">
        <v>38</v>
      </c>
      <c r="B3" s="11" t="n">
        <v>181</v>
      </c>
      <c r="C3" s="11" t="n">
        <v>201</v>
      </c>
      <c r="D3" s="11" t="n">
        <v>236</v>
      </c>
    </row>
    <row r="4" customFormat="false" ht="15.75" hidden="false" customHeight="true" outlineLevel="0" collapsed="false">
      <c r="A4" s="31" t="s">
        <v>40</v>
      </c>
      <c r="B4" s="31" t="n">
        <v>239</v>
      </c>
      <c r="C4" s="31" t="n">
        <v>256</v>
      </c>
      <c r="D4" s="31" t="n">
        <v>269</v>
      </c>
    </row>
    <row r="5" customFormat="false" ht="15.75" hidden="false" customHeight="true" outlineLevel="0" collapsed="false">
      <c r="A5" s="11" t="s">
        <v>41</v>
      </c>
      <c r="B5" s="11" t="n">
        <v>309</v>
      </c>
      <c r="C5" s="11" t="n">
        <v>328</v>
      </c>
      <c r="D5" s="11" t="n">
        <v>346</v>
      </c>
    </row>
    <row r="6" customFormat="false" ht="15.75" hidden="false" customHeight="true" outlineLevel="0" collapsed="false">
      <c r="A6" s="31" t="s">
        <v>43</v>
      </c>
      <c r="B6" s="31" t="n">
        <v>285</v>
      </c>
      <c r="C6" s="31" t="n">
        <v>321</v>
      </c>
      <c r="D6" s="31" t="n">
        <v>366</v>
      </c>
    </row>
    <row r="7" customFormat="false" ht="15.75" hidden="false" customHeight="true" outlineLevel="0" collapsed="false">
      <c r="A7" s="11" t="s">
        <v>44</v>
      </c>
      <c r="B7" s="11" t="n">
        <v>266</v>
      </c>
      <c r="C7" s="11" t="n">
        <v>282</v>
      </c>
      <c r="D7" s="11" t="n">
        <v>310</v>
      </c>
    </row>
    <row r="8" customFormat="false" ht="15.75" hidden="false" customHeight="true" outlineLevel="0" collapsed="false">
      <c r="A8" s="31" t="s">
        <v>45</v>
      </c>
      <c r="B8" s="31" t="n">
        <v>198</v>
      </c>
      <c r="C8" s="31" t="n">
        <v>235</v>
      </c>
      <c r="D8" s="31" t="n">
        <v>282</v>
      </c>
    </row>
    <row r="9" customFormat="false" ht="15.75" hidden="false" customHeight="true" outlineLevel="0" collapsed="false">
      <c r="A9" s="11" t="s">
        <v>46</v>
      </c>
      <c r="B9" s="11" t="n">
        <v>91</v>
      </c>
      <c r="C9" s="11" t="n">
        <v>127</v>
      </c>
      <c r="D9" s="11" t="n">
        <v>186</v>
      </c>
    </row>
    <row r="10" customFormat="false" ht="15.75" hidden="false" customHeight="true" outlineLevel="0" collapsed="false">
      <c r="A10" s="31" t="s">
        <v>48</v>
      </c>
      <c r="B10" s="31" t="n">
        <v>141</v>
      </c>
      <c r="C10" s="31" t="n">
        <v>167</v>
      </c>
      <c r="D10" s="31" t="n">
        <v>208</v>
      </c>
    </row>
    <row r="11" customFormat="false" ht="15.75" hidden="false" customHeight="true" outlineLevel="0" collapsed="false">
      <c r="A11" s="11" t="s">
        <v>49</v>
      </c>
      <c r="B11" s="11" t="n">
        <v>276</v>
      </c>
      <c r="C11" s="11" t="n">
        <v>231</v>
      </c>
      <c r="D11" s="11" t="n">
        <v>185</v>
      </c>
    </row>
    <row r="12" customFormat="false" ht="15.75" hidden="false" customHeight="true" outlineLevel="0" collapsed="false">
      <c r="A12" s="31" t="s">
        <v>50</v>
      </c>
      <c r="B12" s="31" t="n">
        <v>214</v>
      </c>
      <c r="C12" s="31" t="n">
        <v>221</v>
      </c>
      <c r="D12" s="31" t="n">
        <v>210</v>
      </c>
    </row>
    <row r="13" customFormat="false" ht="15.75" hidden="false" customHeight="true" outlineLevel="0" collapsed="false">
      <c r="A13" s="11" t="s">
        <v>52</v>
      </c>
      <c r="B13" s="11" t="n">
        <v>282</v>
      </c>
      <c r="C13" s="11" t="n">
        <v>261</v>
      </c>
      <c r="D13" s="11" t="n">
        <v>237</v>
      </c>
    </row>
    <row r="14" customFormat="false" ht="15.75" hidden="false" customHeight="true" outlineLevel="0" collapsed="false">
      <c r="A14" s="31" t="s">
        <v>53</v>
      </c>
      <c r="B14" s="31" t="n">
        <v>278</v>
      </c>
      <c r="C14" s="31" t="n">
        <v>279</v>
      </c>
      <c r="D14" s="31" t="n">
        <v>220</v>
      </c>
    </row>
    <row r="15" customFormat="false" ht="15.75" hidden="false" customHeight="true" outlineLevel="0" collapsed="false">
      <c r="A15" s="11" t="s">
        <v>54</v>
      </c>
      <c r="B15" s="11" t="n">
        <v>311</v>
      </c>
      <c r="C15" s="11" t="n">
        <v>321</v>
      </c>
      <c r="D15" s="11" t="n">
        <v>330</v>
      </c>
    </row>
    <row r="16" customFormat="false" ht="15.75" hidden="false" customHeight="true" outlineLevel="0" collapsed="false">
      <c r="A16" s="31" t="s">
        <v>55</v>
      </c>
      <c r="B16" s="31" t="n">
        <v>384</v>
      </c>
      <c r="C16" s="31" t="n">
        <v>402</v>
      </c>
      <c r="D16" s="31" t="n">
        <v>394</v>
      </c>
    </row>
    <row r="17" customFormat="false" ht="15.75" hidden="false" customHeight="true" outlineLevel="0" collapsed="false">
      <c r="A17" s="11" t="s">
        <v>56</v>
      </c>
      <c r="B17" s="11" t="n">
        <v>472</v>
      </c>
      <c r="C17" s="11" t="n">
        <v>430</v>
      </c>
      <c r="D17" s="11" t="n">
        <v>365</v>
      </c>
    </row>
    <row r="18" customFormat="false" ht="15.75" hidden="false" customHeight="true" outlineLevel="0" collapsed="false">
      <c r="A18" s="31" t="s">
        <v>57</v>
      </c>
      <c r="B18" s="31" t="n">
        <v>402</v>
      </c>
      <c r="C18" s="31" t="n">
        <v>400</v>
      </c>
      <c r="D18" s="31" t="n">
        <v>391</v>
      </c>
    </row>
    <row r="19" customFormat="false" ht="15.75" hidden="false" customHeight="true" outlineLevel="0" collapsed="false">
      <c r="A19" s="11" t="s">
        <v>58</v>
      </c>
      <c r="B19" s="11" t="n">
        <v>379</v>
      </c>
      <c r="C19" s="11" t="n">
        <v>379</v>
      </c>
      <c r="D19" s="11" t="n">
        <v>362</v>
      </c>
    </row>
    <row r="20" customFormat="false" ht="15.75" hidden="false" customHeight="true" outlineLevel="0" collapsed="false">
      <c r="A20" s="31" t="s">
        <v>59</v>
      </c>
      <c r="B20" s="31" t="n">
        <v>354</v>
      </c>
      <c r="C20" s="31" t="n">
        <v>345</v>
      </c>
      <c r="D20" s="31" t="n">
        <v>318</v>
      </c>
    </row>
    <row r="21" customFormat="false" ht="15.75" hidden="false" customHeight="true" outlineLevel="0" collapsed="false">
      <c r="A21" s="11" t="s">
        <v>60</v>
      </c>
      <c r="B21" s="11" t="n">
        <v>216</v>
      </c>
      <c r="C21" s="11" t="n">
        <v>226</v>
      </c>
      <c r="D21" s="11" t="n">
        <v>238</v>
      </c>
    </row>
    <row r="22" customFormat="false" ht="15.75" hidden="false" customHeight="true" outlineLevel="0" collapsed="false">
      <c r="A22" s="31" t="s">
        <v>61</v>
      </c>
      <c r="B22" s="31" t="n">
        <v>273</v>
      </c>
      <c r="C22" s="31" t="n">
        <v>244</v>
      </c>
      <c r="D22" s="31" t="n">
        <v>229</v>
      </c>
    </row>
    <row r="23" customFormat="false" ht="15.75" hidden="false" customHeight="true" outlineLevel="0" collapsed="false">
      <c r="A23" s="11" t="s">
        <v>62</v>
      </c>
      <c r="B23" s="11" t="n">
        <v>126</v>
      </c>
      <c r="C23" s="11" t="n">
        <v>180</v>
      </c>
      <c r="D23" s="11" t="n">
        <v>225</v>
      </c>
    </row>
    <row r="24" customFormat="false" ht="15.75" hidden="false" customHeight="true" outlineLevel="0" collapsed="false">
      <c r="A24" s="31" t="s">
        <v>63</v>
      </c>
      <c r="B24" s="31" t="n">
        <v>267</v>
      </c>
      <c r="C24" s="31" t="n">
        <v>277</v>
      </c>
      <c r="D24" s="31" t="n">
        <v>312</v>
      </c>
    </row>
    <row r="25" customFormat="false" ht="15.75" hidden="false" customHeight="true" outlineLevel="0" collapsed="false">
      <c r="A25" s="11" t="s">
        <v>64</v>
      </c>
      <c r="B25" s="11" t="n">
        <v>283</v>
      </c>
      <c r="C25" s="11" t="n">
        <v>287</v>
      </c>
      <c r="D25" s="11" t="n">
        <v>305</v>
      </c>
    </row>
    <row r="26" customFormat="false" ht="15.75" hidden="false" customHeight="true" outlineLevel="0" collapsed="false">
      <c r="A26" s="31" t="s">
        <v>65</v>
      </c>
      <c r="B26" s="31" t="n">
        <v>360</v>
      </c>
      <c r="C26" s="31" t="n">
        <v>353</v>
      </c>
      <c r="D26" s="31" t="n">
        <v>294</v>
      </c>
    </row>
    <row r="27" customFormat="false" ht="15.75" hidden="false" customHeight="true" outlineLevel="0" collapsed="false">
      <c r="A27" s="11" t="s">
        <v>66</v>
      </c>
      <c r="B27" s="11" t="n">
        <v>439</v>
      </c>
      <c r="C27" s="11" t="n">
        <v>438</v>
      </c>
      <c r="D27" s="11" t="n">
        <v>413</v>
      </c>
    </row>
    <row r="28" customFormat="false" ht="15.75" hidden="false" customHeight="true" outlineLevel="0" collapsed="false">
      <c r="A28" s="31" t="s">
        <v>67</v>
      </c>
      <c r="B28" s="31" t="n">
        <v>534</v>
      </c>
      <c r="C28" s="31" t="n">
        <v>516</v>
      </c>
      <c r="D28" s="31" t="n">
        <v>429</v>
      </c>
    </row>
    <row r="29" customFormat="false" ht="15.75" hidden="false" customHeight="true" outlineLevel="0" collapsed="false">
      <c r="A29" s="11" t="s">
        <v>68</v>
      </c>
      <c r="B29" s="11" t="n">
        <v>535</v>
      </c>
      <c r="C29" s="11" t="n">
        <v>543</v>
      </c>
      <c r="D29" s="11" t="n">
        <v>471</v>
      </c>
    </row>
    <row r="30" customFormat="false" ht="15.75" hidden="false" customHeight="true" outlineLevel="0" collapsed="false">
      <c r="A30" s="31" t="s">
        <v>69</v>
      </c>
      <c r="B30" s="31" t="n">
        <v>553</v>
      </c>
      <c r="C30" s="31" t="n">
        <v>539</v>
      </c>
      <c r="D30" s="31" t="n">
        <v>480</v>
      </c>
    </row>
    <row r="31" customFormat="false" ht="15.75" hidden="false" customHeight="true" outlineLevel="0" collapsed="false">
      <c r="A31" s="11" t="s">
        <v>70</v>
      </c>
      <c r="B31" s="11" t="n">
        <v>447</v>
      </c>
      <c r="C31" s="11" t="n">
        <v>449</v>
      </c>
      <c r="D31" s="11" t="n">
        <v>467</v>
      </c>
    </row>
    <row r="32" customFormat="false" ht="15.75" hidden="false" customHeight="true" outlineLevel="0" collapsed="false">
      <c r="A32" s="31" t="s">
        <v>71</v>
      </c>
      <c r="B32" s="31" t="n">
        <v>421</v>
      </c>
      <c r="C32" s="31" t="n">
        <v>426</v>
      </c>
      <c r="D32" s="31" t="n">
        <v>404</v>
      </c>
    </row>
    <row r="33" customFormat="false" ht="15.75" hidden="false" customHeight="true" outlineLevel="0" collapsed="false">
      <c r="A33" s="11" t="s">
        <v>72</v>
      </c>
      <c r="B33" s="11" t="n">
        <v>403</v>
      </c>
      <c r="C33" s="11" t="n">
        <v>379</v>
      </c>
      <c r="D33" s="11" t="n">
        <v>311</v>
      </c>
    </row>
    <row r="34" customFormat="false" ht="15.75" hidden="false" customHeight="true" outlineLevel="0" collapsed="false">
      <c r="A34" s="31" t="s">
        <v>73</v>
      </c>
      <c r="B34" s="31" t="n">
        <v>357</v>
      </c>
      <c r="C34" s="31" t="n">
        <v>352</v>
      </c>
      <c r="D34" s="31" t="n">
        <v>275</v>
      </c>
    </row>
    <row r="35" customFormat="false" ht="15.75" hidden="false" customHeight="true" outlineLevel="0" collapsed="false">
      <c r="A35" s="11" t="s">
        <v>74</v>
      </c>
      <c r="B35" s="11" t="n">
        <v>297</v>
      </c>
      <c r="C35" s="11" t="n">
        <v>320</v>
      </c>
      <c r="D35" s="11" t="n">
        <v>272</v>
      </c>
    </row>
    <row r="36" customFormat="false" ht="15.75" hidden="false" customHeight="true" outlineLevel="0" collapsed="false">
      <c r="A36" s="31" t="s">
        <v>75</v>
      </c>
      <c r="B36" s="31" t="n">
        <v>322</v>
      </c>
      <c r="C36" s="31" t="n">
        <v>341</v>
      </c>
      <c r="D36" s="31" t="n">
        <v>339</v>
      </c>
    </row>
    <row r="37" customFormat="false" ht="15.75" hidden="false" customHeight="true" outlineLevel="0" collapsed="false">
      <c r="A37" s="11" t="s">
        <v>76</v>
      </c>
      <c r="B37" s="11" t="n">
        <v>455</v>
      </c>
      <c r="C37" s="11" t="n">
        <v>410</v>
      </c>
      <c r="D37" s="11" t="n">
        <v>381</v>
      </c>
    </row>
    <row r="38" customFormat="false" ht="15.75" hidden="false" customHeight="true" outlineLevel="0" collapsed="false">
      <c r="A38" s="31" t="s">
        <v>77</v>
      </c>
      <c r="B38" s="31" t="n">
        <v>340</v>
      </c>
      <c r="C38" s="31" t="n">
        <v>357</v>
      </c>
      <c r="D38" s="31" t="n">
        <v>348</v>
      </c>
    </row>
    <row r="39" customFormat="false" ht="15.75" hidden="false" customHeight="true" outlineLevel="0" collapsed="false">
      <c r="A39" s="11" t="s">
        <v>78</v>
      </c>
      <c r="B39" s="11" t="n">
        <v>476</v>
      </c>
      <c r="C39" s="11" t="n">
        <v>472</v>
      </c>
      <c r="D39" s="11" t="n">
        <v>472</v>
      </c>
    </row>
    <row r="40" customFormat="false" ht="15.75" hidden="false" customHeight="true" outlineLevel="0" collapsed="false">
      <c r="A40" s="31" t="s">
        <v>79</v>
      </c>
      <c r="B40" s="31" t="n">
        <v>546</v>
      </c>
      <c r="C40" s="31" t="n">
        <v>550</v>
      </c>
      <c r="D40" s="31" t="n">
        <v>501</v>
      </c>
    </row>
    <row r="41" customFormat="false" ht="15.75" hidden="false" customHeight="true" outlineLevel="0" collapsed="false">
      <c r="A41" s="11" t="s">
        <v>80</v>
      </c>
      <c r="B41" s="11" t="n">
        <v>598</v>
      </c>
      <c r="C41" s="11" t="n">
        <v>584</v>
      </c>
      <c r="D41" s="11" t="n">
        <v>548</v>
      </c>
    </row>
    <row r="42" customFormat="false" ht="15.75" hidden="false" customHeight="true" outlineLevel="0" collapsed="false">
      <c r="A42" s="31" t="s">
        <v>81</v>
      </c>
      <c r="B42" s="31" t="n">
        <v>589</v>
      </c>
      <c r="C42" s="31" t="n">
        <v>580</v>
      </c>
      <c r="D42" s="31" t="n">
        <v>548</v>
      </c>
    </row>
    <row r="43" customFormat="false" ht="15.75" hidden="false" customHeight="true" outlineLevel="0" collapsed="false">
      <c r="A43" s="11" t="s">
        <v>82</v>
      </c>
      <c r="B43" s="11" t="n">
        <v>496</v>
      </c>
      <c r="C43" s="11" t="n">
        <v>468</v>
      </c>
      <c r="D43" s="11" t="n">
        <v>465</v>
      </c>
    </row>
    <row r="44" customFormat="false" ht="15.75" hidden="false" customHeight="true" outlineLevel="0" collapsed="false">
      <c r="A44" s="31" t="s">
        <v>83</v>
      </c>
      <c r="B44" s="31" t="n">
        <v>350</v>
      </c>
      <c r="C44" s="31" t="n">
        <v>373</v>
      </c>
      <c r="D44" s="31" t="n">
        <v>425</v>
      </c>
    </row>
    <row r="45" customFormat="false" ht="15.75" hidden="false" customHeight="true" outlineLevel="0" collapsed="false">
      <c r="A45" s="11" t="s">
        <v>84</v>
      </c>
      <c r="B45" s="11" t="n">
        <v>390</v>
      </c>
      <c r="C45" s="11" t="n">
        <v>380</v>
      </c>
      <c r="D45" s="11" t="n">
        <v>353</v>
      </c>
    </row>
    <row r="46" customFormat="false" ht="15.75" hidden="false" customHeight="true" outlineLevel="0" collapsed="false">
      <c r="A46" s="31" t="s">
        <v>85</v>
      </c>
      <c r="B46" s="31" t="n">
        <v>359</v>
      </c>
      <c r="C46" s="31" t="n">
        <v>359</v>
      </c>
      <c r="D46" s="31" t="n">
        <v>331</v>
      </c>
    </row>
    <row r="47" customFormat="false" ht="15.75" hidden="false" customHeight="true" outlineLevel="0" collapsed="false">
      <c r="A47" s="11" t="s">
        <v>86</v>
      </c>
      <c r="B47" s="11" t="n">
        <v>377</v>
      </c>
      <c r="C47" s="11" t="n">
        <v>361</v>
      </c>
      <c r="D47" s="11" t="n">
        <v>339</v>
      </c>
    </row>
    <row r="48" customFormat="false" ht="15.75" hidden="false" customHeight="true" outlineLevel="0" collapsed="false">
      <c r="A48" s="31" t="s">
        <v>87</v>
      </c>
      <c r="B48" s="31" t="n">
        <v>322</v>
      </c>
      <c r="C48" s="31" t="n">
        <v>335</v>
      </c>
      <c r="D48" s="31" t="n">
        <v>383</v>
      </c>
    </row>
    <row r="49" customFormat="false" ht="15.75" hidden="false" customHeight="true" outlineLevel="0" collapsed="false">
      <c r="A49" s="11" t="s">
        <v>88</v>
      </c>
      <c r="B49" s="11" t="n">
        <v>345</v>
      </c>
      <c r="C49" s="11" t="n">
        <v>349</v>
      </c>
      <c r="D49" s="11" t="n">
        <v>436</v>
      </c>
    </row>
    <row r="50" customFormat="false" ht="15.75" hidden="false" customHeight="true" outlineLevel="0" collapsed="false">
      <c r="A50" s="31" t="s">
        <v>89</v>
      </c>
      <c r="B50" s="31" t="n">
        <v>310</v>
      </c>
      <c r="C50" s="31" t="n">
        <v>337</v>
      </c>
      <c r="D50" s="31" t="n">
        <v>411</v>
      </c>
    </row>
    <row r="51" customFormat="false" ht="15.75" hidden="false" customHeight="true" outlineLevel="0" collapsed="false">
      <c r="A51" s="11" t="s">
        <v>90</v>
      </c>
      <c r="B51" s="11" t="n">
        <v>399</v>
      </c>
      <c r="C51" s="11" t="n">
        <v>408</v>
      </c>
      <c r="D51" s="11" t="n">
        <v>510</v>
      </c>
    </row>
    <row r="52" customFormat="false" ht="15.75" hidden="false" customHeight="true" outlineLevel="0" collapsed="false">
      <c r="A52" s="31" t="s">
        <v>91</v>
      </c>
      <c r="B52" s="31" t="n">
        <v>499</v>
      </c>
      <c r="C52" s="31" t="n">
        <v>526</v>
      </c>
      <c r="D52" s="31" t="n">
        <v>542</v>
      </c>
    </row>
    <row r="53" customFormat="false" ht="15.75" hidden="false" customHeight="true" outlineLevel="0" collapsed="false">
      <c r="A53" s="11" t="s">
        <v>92</v>
      </c>
      <c r="B53" s="11" t="n">
        <v>601</v>
      </c>
      <c r="C53" s="11" t="n">
        <v>578</v>
      </c>
      <c r="D53" s="11" t="n">
        <v>562</v>
      </c>
    </row>
    <row r="54" customFormat="false" ht="15.75" hidden="false" customHeight="true" outlineLevel="0" collapsed="false">
      <c r="A54" s="31" t="s">
        <v>93</v>
      </c>
      <c r="B54" s="31" t="n">
        <v>457</v>
      </c>
      <c r="C54" s="31" t="n">
        <v>460</v>
      </c>
      <c r="D54" s="31" t="n">
        <v>576</v>
      </c>
    </row>
    <row r="55" customFormat="false" ht="15.75" hidden="false" customHeight="true" outlineLevel="0" collapsed="false">
      <c r="A55" s="41" t="s">
        <v>104</v>
      </c>
      <c r="B55" s="41"/>
      <c r="C55" s="41" t="n">
        <v>455</v>
      </c>
      <c r="D55" s="41" t="n">
        <v>544</v>
      </c>
    </row>
    <row r="56" customFormat="false" ht="15.75" hidden="false" customHeight="true" outlineLevel="0" collapsed="false">
      <c r="A56" s="41" t="s">
        <v>106</v>
      </c>
      <c r="B56" s="41"/>
      <c r="C56" s="41" t="n">
        <v>428</v>
      </c>
      <c r="D56" s="41" t="n">
        <v>500</v>
      </c>
    </row>
    <row r="57" customFormat="false" ht="15.75" hidden="false" customHeight="true" outlineLevel="0" collapsed="false">
      <c r="A57" s="41" t="s">
        <v>107</v>
      </c>
      <c r="B57" s="41"/>
      <c r="C57" s="41" t="n">
        <v>377</v>
      </c>
      <c r="D57" s="41" t="n">
        <v>416</v>
      </c>
    </row>
    <row r="58" customFormat="false" ht="15.75" hidden="false" customHeight="true" outlineLevel="0" collapsed="false">
      <c r="A58" s="41" t="s">
        <v>108</v>
      </c>
      <c r="B58" s="41"/>
      <c r="C58" s="41" t="n">
        <v>359</v>
      </c>
      <c r="D58" s="41" t="n">
        <v>397</v>
      </c>
    </row>
    <row r="59" customFormat="false" ht="15.75" hidden="false" customHeight="true" outlineLevel="0" collapsed="false">
      <c r="A59" s="41" t="s">
        <v>109</v>
      </c>
      <c r="B59" s="41"/>
      <c r="C59" s="41" t="n">
        <v>353</v>
      </c>
      <c r="D59" s="41" t="n">
        <v>398</v>
      </c>
    </row>
    <row r="60" customFormat="false" ht="15.75" hidden="false" customHeight="true" outlineLevel="0" collapsed="false">
      <c r="A60" s="41" t="s">
        <v>110</v>
      </c>
      <c r="B60" s="41"/>
      <c r="C60" s="41" t="n">
        <v>335</v>
      </c>
      <c r="D60" s="41" t="n">
        <v>454</v>
      </c>
    </row>
    <row r="61" customFormat="false" ht="15.75" hidden="false" customHeight="true" outlineLevel="0" collapsed="false">
      <c r="A61" s="41" t="s">
        <v>111</v>
      </c>
      <c r="B61" s="41"/>
      <c r="C61" s="41" t="n">
        <v>347</v>
      </c>
      <c r="D61" s="41" t="n">
        <v>485</v>
      </c>
    </row>
    <row r="62" customFormat="false" ht="15.75" hidden="false" customHeight="true" outlineLevel="0" collapsed="false">
      <c r="A62" s="41" t="s">
        <v>112</v>
      </c>
      <c r="B62" s="41"/>
      <c r="C62" s="41" t="n">
        <v>352</v>
      </c>
      <c r="D62" s="41" t="n">
        <v>461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2026-05-28T04:46:28Z</dcterms:created>
  <dc:creator>openpyxl</dc:creator>
  <dc:description/>
  <dc:language>en-US</dc:language>
  <cp:lastModifiedBy/>
  <dcterms:modified xsi:type="dcterms:W3CDTF">2026-05-28T04:46:40Z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